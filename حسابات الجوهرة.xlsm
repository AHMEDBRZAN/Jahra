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WHER PC 1\OneDrive\Desktop\JWHERA CO\حسابات الشركة 2026\"/>
    </mc:Choice>
  </mc:AlternateContent>
  <xr:revisionPtr revIDLastSave="0" documentId="13_ncr:1_{28C90CF8-BF80-4456-AF9B-34DF5E433D2F}" xr6:coauthVersionLast="47" xr6:coauthVersionMax="47" xr10:uidLastSave="{00000000-0000-0000-0000-000000000000}"/>
  <bookViews>
    <workbookView xWindow="-120" yWindow="-120" windowWidth="29040" windowHeight="15720" tabRatio="602" activeTab="1" xr2:uid="{32F6EAE5-BF31-45C9-8BD3-FF10512CE3BC}"/>
  </bookViews>
  <sheets>
    <sheet name="دفعات المستفيدين" sheetId="3" r:id="rId1"/>
    <sheet name="Company accounts" sheetId="1" r:id="rId2"/>
    <sheet name="Transfer" sheetId="4" r:id="rId3"/>
    <sheet name="رصيد قاصة" sheetId="6" r:id="rId4"/>
    <sheet name="ابو مرتضى" sheetId="2" r:id="rId5"/>
    <sheet name="filter" sheetId="5" r:id="rId6"/>
  </sheets>
  <functionGroups builtInGroupCount="19"/>
  <definedNames>
    <definedName name="_xlnm._FilterDatabase" localSheetId="1" hidden="1">'Company accounts'!$A$2:$I$4000</definedName>
    <definedName name="_xlnm._FilterDatabase" localSheetId="5" hidden="1">filter!#REF!</definedName>
    <definedName name="_xlnm.Criteria" localSheetId="5">filter!$A$1:$B$3</definedName>
    <definedName name="_xlnm.Criteria" localSheetId="4">'ابو مرتضى'!#REF!</definedName>
    <definedName name="_xlnm.Extract" localSheetId="5">filter!$A$4:$I$84</definedName>
    <definedName name="_xlnm.Extract" localSheetId="4">'ابو مرتضى'!#REF!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6" l="1"/>
  <c r="G2" i="6"/>
  <c r="K693" i="1"/>
  <c r="M712" i="1"/>
  <c r="J20" i="4" s="1"/>
  <c r="I38" i="2"/>
  <c r="Q10" i="5"/>
  <c r="I2" i="5"/>
  <c r="M6" i="5" s="1"/>
  <c r="C85" i="5"/>
  <c r="I56" i="2"/>
  <c r="E2" i="6" l="1"/>
  <c r="I48" i="2"/>
  <c r="Q2" i="2"/>
  <c r="V53" i="5"/>
  <c r="U56" i="5" s="1"/>
  <c r="K4" i="5"/>
  <c r="Q20" i="4"/>
  <c r="Z16" i="4"/>
  <c r="A8" i="4"/>
  <c r="P3" i="4"/>
  <c r="P4" i="4"/>
  <c r="P5" i="4"/>
  <c r="P6" i="4"/>
  <c r="P7" i="4"/>
  <c r="J3" i="4"/>
  <c r="J4" i="4"/>
  <c r="J5" i="4"/>
  <c r="J6" i="4"/>
  <c r="J7" i="4"/>
  <c r="A2" i="4"/>
  <c r="A3" i="4"/>
  <c r="A4" i="4"/>
  <c r="A5" i="4"/>
  <c r="A6" i="4"/>
  <c r="AA19" i="2"/>
  <c r="T56" i="5"/>
  <c r="Z25" i="6"/>
  <c r="Z19" i="6"/>
  <c r="K42" i="6"/>
  <c r="K47" i="6" s="1"/>
  <c r="P17" i="4"/>
  <c r="S18" i="4"/>
  <c r="U18" i="4" s="1"/>
  <c r="T18" i="4"/>
  <c r="S15" i="4"/>
  <c r="U15" i="4" s="1"/>
  <c r="T15" i="4"/>
  <c r="S16" i="4"/>
  <c r="V16" i="4" s="1"/>
  <c r="T16" i="4"/>
  <c r="S17" i="4"/>
  <c r="V17" i="4" s="1"/>
  <c r="T17" i="4"/>
  <c r="Z23" i="6"/>
  <c r="S4" i="6"/>
  <c r="Z16" i="6"/>
  <c r="Q16" i="5"/>
  <c r="Z17" i="6"/>
  <c r="Z18" i="6"/>
  <c r="U8" i="2"/>
  <c r="A18" i="4"/>
  <c r="A19" i="4"/>
  <c r="J19" i="4"/>
  <c r="L19" i="4" s="1"/>
  <c r="P19" i="4"/>
  <c r="P20" i="4"/>
  <c r="J21" i="4"/>
  <c r="Q21" i="4" s="1"/>
  <c r="P21" i="4"/>
  <c r="R18" i="6"/>
  <c r="Z29" i="6" s="1"/>
  <c r="S5" i="6"/>
  <c r="S16" i="6"/>
  <c r="BM57" i="3"/>
  <c r="Z4" i="6"/>
  <c r="Z6" i="6"/>
  <c r="Z7" i="6"/>
  <c r="Z5" i="6"/>
  <c r="V16" i="5"/>
  <c r="I1" i="2"/>
  <c r="W16" i="4"/>
  <c r="W17" i="4"/>
  <c r="V56" i="5" l="1"/>
  <c r="Z56" i="5"/>
  <c r="V2" i="6"/>
  <c r="Z30" i="6"/>
  <c r="X31" i="6"/>
  <c r="X29" i="6" s="1"/>
  <c r="U16" i="4"/>
  <c r="M20" i="4"/>
  <c r="Q19" i="4"/>
  <c r="Z15" i="4"/>
  <c r="Z18" i="4"/>
  <c r="Z17" i="4"/>
  <c r="Y18" i="4"/>
  <c r="V18" i="4"/>
  <c r="U17" i="4"/>
  <c r="Y15" i="4"/>
  <c r="Y16" i="4"/>
  <c r="Y17" i="4"/>
  <c r="V15" i="4"/>
  <c r="Q19" i="5"/>
  <c r="Z20" i="6"/>
  <c r="S29" i="6" s="1"/>
  <c r="N21" i="4"/>
  <c r="M21" i="4"/>
  <c r="L21" i="4"/>
  <c r="N20" i="4"/>
  <c r="L20" i="4"/>
  <c r="N19" i="4"/>
  <c r="M19" i="4"/>
  <c r="T2" i="6"/>
  <c r="T19" i="5"/>
  <c r="O19" i="4"/>
  <c r="O21" i="4"/>
  <c r="W18" i="4"/>
  <c r="O20" i="4"/>
  <c r="W15" i="4"/>
  <c r="U2" i="6" l="1"/>
  <c r="X19" i="5"/>
  <c r="Z16" i="5"/>
  <c r="Y19" i="5" s="1"/>
  <c r="X35" i="5"/>
  <c r="Z32" i="5"/>
  <c r="V32" i="5"/>
  <c r="T35" i="5"/>
  <c r="I239" i="5" l="1"/>
  <c r="M15" i="5" s="1"/>
  <c r="J25" i="4"/>
  <c r="M25" i="4" s="1"/>
  <c r="P25" i="4"/>
  <c r="J26" i="4"/>
  <c r="N26" i="4" s="1"/>
  <c r="P26" i="4"/>
  <c r="J18" i="4"/>
  <c r="M18" i="4" s="1"/>
  <c r="P18" i="4"/>
  <c r="J22" i="4"/>
  <c r="M22" i="4" s="1"/>
  <c r="P22" i="4"/>
  <c r="J23" i="4"/>
  <c r="Q23" i="4" s="1"/>
  <c r="P23" i="4"/>
  <c r="J24" i="4"/>
  <c r="Q24" i="4" s="1"/>
  <c r="P24" i="4"/>
  <c r="A22" i="4"/>
  <c r="E22" i="4" s="1"/>
  <c r="A23" i="4"/>
  <c r="E23" i="4" s="1"/>
  <c r="A24" i="4"/>
  <c r="F24" i="4" s="1"/>
  <c r="E18" i="4"/>
  <c r="F19" i="4"/>
  <c r="A20" i="4"/>
  <c r="B20" i="4" s="1"/>
  <c r="A21" i="4"/>
  <c r="F21" i="4" s="1"/>
  <c r="I19" i="2"/>
  <c r="A17" i="4"/>
  <c r="A16" i="4"/>
  <c r="J17" i="4"/>
  <c r="O26" i="4"/>
  <c r="M17" i="4" l="1"/>
  <c r="Q17" i="4"/>
  <c r="L17" i="4"/>
  <c r="M26" i="4"/>
  <c r="L26" i="4"/>
  <c r="G24" i="4"/>
  <c r="N23" i="4"/>
  <c r="Q26" i="4"/>
  <c r="B19" i="4"/>
  <c r="G19" i="4"/>
  <c r="B24" i="4"/>
  <c r="Q18" i="4"/>
  <c r="L18" i="4"/>
  <c r="Q22" i="4"/>
  <c r="N22" i="4"/>
  <c r="L22" i="4"/>
  <c r="E19" i="4"/>
  <c r="E24" i="4"/>
  <c r="B22" i="4"/>
  <c r="N18" i="4"/>
  <c r="G22" i="4"/>
  <c r="G23" i="4"/>
  <c r="L24" i="4"/>
  <c r="Q25" i="4"/>
  <c r="F23" i="4"/>
  <c r="G20" i="4"/>
  <c r="E20" i="4"/>
  <c r="B23" i="4"/>
  <c r="L25" i="4"/>
  <c r="N25" i="4"/>
  <c r="N24" i="4"/>
  <c r="M23" i="4"/>
  <c r="M24" i="4"/>
  <c r="L23" i="4"/>
  <c r="F22" i="4"/>
  <c r="E21" i="4"/>
  <c r="F20" i="4"/>
  <c r="B21" i="4"/>
  <c r="B18" i="4"/>
  <c r="G18" i="4"/>
  <c r="G21" i="4"/>
  <c r="F18" i="4"/>
  <c r="N17" i="4"/>
  <c r="O24" i="4"/>
  <c r="O22" i="4"/>
  <c r="O25" i="4"/>
  <c r="O17" i="4"/>
  <c r="O18" i="4"/>
  <c r="O23" i="4"/>
  <c r="S13" i="4" l="1"/>
  <c r="U13" i="4" s="1"/>
  <c r="T13" i="4"/>
  <c r="Z13" i="4"/>
  <c r="S14" i="4"/>
  <c r="Y14" i="4" s="1"/>
  <c r="T14" i="4"/>
  <c r="Z14" i="4"/>
  <c r="S12" i="4"/>
  <c r="Y12" i="4" s="1"/>
  <c r="T12" i="4"/>
  <c r="Z12" i="4"/>
  <c r="A14" i="4"/>
  <c r="B14" i="4" s="1"/>
  <c r="A15" i="4"/>
  <c r="G15" i="4" s="1"/>
  <c r="E16" i="4"/>
  <c r="E17" i="4"/>
  <c r="J15" i="4"/>
  <c r="L15" i="4" s="1"/>
  <c r="P15" i="4"/>
  <c r="J16" i="4"/>
  <c r="L16" i="4" s="1"/>
  <c r="P16" i="4"/>
  <c r="C238" i="5"/>
  <c r="C212" i="5"/>
  <c r="C168" i="5"/>
  <c r="ANT63" i="5"/>
  <c r="AAV26" i="5"/>
  <c r="ABH4" i="5"/>
  <c r="P14" i="4"/>
  <c r="J8" i="4"/>
  <c r="J9" i="4"/>
  <c r="J10" i="4"/>
  <c r="J11" i="4"/>
  <c r="J12" i="4"/>
  <c r="M12" i="4" s="1"/>
  <c r="J13" i="4"/>
  <c r="N13" i="4" s="1"/>
  <c r="J14" i="4"/>
  <c r="P8" i="4"/>
  <c r="P9" i="4"/>
  <c r="P10" i="4"/>
  <c r="P11" i="4"/>
  <c r="P12" i="4"/>
  <c r="P13" i="4"/>
  <c r="A7" i="4"/>
  <c r="A9" i="4"/>
  <c r="A10" i="4"/>
  <c r="A11" i="4"/>
  <c r="G11" i="4" s="1"/>
  <c r="A12" i="4"/>
  <c r="F12" i="4" s="1"/>
  <c r="A13" i="4"/>
  <c r="F13" i="4" s="1"/>
  <c r="I86" i="5"/>
  <c r="I213" i="5"/>
  <c r="S6" i="4"/>
  <c r="Y6" i="4" s="1"/>
  <c r="T6" i="4"/>
  <c r="Z6" i="4"/>
  <c r="S7" i="4"/>
  <c r="U7" i="4" s="1"/>
  <c r="T7" i="4"/>
  <c r="Z7" i="4"/>
  <c r="S8" i="4"/>
  <c r="V8" i="4" s="1"/>
  <c r="T8" i="4"/>
  <c r="Z8" i="4"/>
  <c r="S9" i="4"/>
  <c r="Y9" i="4" s="1"/>
  <c r="T9" i="4"/>
  <c r="Z9" i="4"/>
  <c r="S10" i="4"/>
  <c r="Y10" i="4" s="1"/>
  <c r="T10" i="4"/>
  <c r="Z10" i="4"/>
  <c r="S11" i="4"/>
  <c r="U11" i="4" s="1"/>
  <c r="T11" i="4"/>
  <c r="Z11" i="4"/>
  <c r="W8" i="4"/>
  <c r="Z47" i="5" l="1"/>
  <c r="Z53" i="5" s="1"/>
  <c r="M14" i="5"/>
  <c r="M12" i="5"/>
  <c r="B17" i="4"/>
  <c r="Y13" i="4"/>
  <c r="V13" i="4"/>
  <c r="V14" i="4"/>
  <c r="U14" i="4"/>
  <c r="V12" i="4"/>
  <c r="U12" i="4"/>
  <c r="G16" i="4"/>
  <c r="F17" i="4"/>
  <c r="G17" i="4"/>
  <c r="B16" i="4"/>
  <c r="N15" i="4"/>
  <c r="M16" i="4"/>
  <c r="F16" i="4"/>
  <c r="F15" i="4"/>
  <c r="N16" i="4"/>
  <c r="B15" i="4"/>
  <c r="F14" i="4"/>
  <c r="Q15" i="4"/>
  <c r="Q16" i="4"/>
  <c r="E15" i="4"/>
  <c r="G14" i="4"/>
  <c r="E14" i="4"/>
  <c r="M15" i="4"/>
  <c r="G12" i="4"/>
  <c r="B12" i="4"/>
  <c r="L12" i="4"/>
  <c r="B13" i="4"/>
  <c r="E13" i="4"/>
  <c r="E12" i="4"/>
  <c r="G13" i="4"/>
  <c r="E11" i="4"/>
  <c r="B11" i="4"/>
  <c r="V9" i="4"/>
  <c r="V11" i="4"/>
  <c r="U10" i="4"/>
  <c r="U8" i="4"/>
  <c r="Y11" i="4"/>
  <c r="V10" i="4"/>
  <c r="U9" i="4"/>
  <c r="Y7" i="4"/>
  <c r="Y8" i="4"/>
  <c r="V6" i="4"/>
  <c r="V7" i="4"/>
  <c r="U6" i="4"/>
  <c r="F11" i="4"/>
  <c r="Q82" i="2"/>
  <c r="O16" i="4"/>
  <c r="W12" i="4"/>
  <c r="W10" i="4"/>
  <c r="W9" i="4"/>
  <c r="W14" i="4"/>
  <c r="W11" i="4"/>
  <c r="W6" i="4"/>
  <c r="W13" i="4"/>
  <c r="W7" i="4"/>
  <c r="O15" i="4"/>
  <c r="BM147" i="3" l="1"/>
  <c r="M1" i="4"/>
  <c r="BM4" i="3"/>
  <c r="BM5" i="3"/>
  <c r="BM6" i="3"/>
  <c r="BM7" i="3"/>
  <c r="BM8" i="3"/>
  <c r="BM9" i="3"/>
  <c r="BM10" i="3"/>
  <c r="BM11" i="3"/>
  <c r="BM12" i="3"/>
  <c r="BM13" i="3"/>
  <c r="BM14" i="3"/>
  <c r="BM15" i="3"/>
  <c r="BM16" i="3"/>
  <c r="BM17" i="3"/>
  <c r="BM18" i="3"/>
  <c r="BM19" i="3"/>
  <c r="BM20" i="3"/>
  <c r="BM21" i="3"/>
  <c r="BM22" i="3"/>
  <c r="BM23" i="3"/>
  <c r="BM24" i="3"/>
  <c r="BM25" i="3"/>
  <c r="BM26" i="3"/>
  <c r="BM27" i="3"/>
  <c r="BM28" i="3"/>
  <c r="BM29" i="3"/>
  <c r="BM30" i="3"/>
  <c r="BM31" i="3"/>
  <c r="BM32" i="3"/>
  <c r="BM33" i="3"/>
  <c r="BM34" i="3"/>
  <c r="BM35" i="3"/>
  <c r="BM36" i="3"/>
  <c r="BM37" i="3"/>
  <c r="BM38" i="3"/>
  <c r="BM39" i="3"/>
  <c r="BM40" i="3"/>
  <c r="BM41" i="3"/>
  <c r="BM42" i="3"/>
  <c r="BM43" i="3"/>
  <c r="BM44" i="3"/>
  <c r="BM45" i="3"/>
  <c r="BM46" i="3"/>
  <c r="BM47" i="3"/>
  <c r="BM48" i="3"/>
  <c r="BM49" i="3"/>
  <c r="BM50" i="3"/>
  <c r="BM51" i="3"/>
  <c r="BM52" i="3"/>
  <c r="BM53" i="3"/>
  <c r="BM54" i="3"/>
  <c r="BM55" i="3"/>
  <c r="BM56" i="3"/>
  <c r="BM58" i="3"/>
  <c r="BM59" i="3"/>
  <c r="BM60" i="3"/>
  <c r="BM61" i="3"/>
  <c r="BM62" i="3"/>
  <c r="BM63" i="3"/>
  <c r="BM64" i="3"/>
  <c r="BM65" i="3"/>
  <c r="BM66" i="3"/>
  <c r="BM67" i="3"/>
  <c r="BM68" i="3"/>
  <c r="BM69" i="3"/>
  <c r="BM70" i="3"/>
  <c r="BM71" i="3"/>
  <c r="BM72" i="3"/>
  <c r="BM73" i="3"/>
  <c r="BM74" i="3"/>
  <c r="BM75" i="3"/>
  <c r="BM76" i="3"/>
  <c r="BM77" i="3"/>
  <c r="BM78" i="3"/>
  <c r="BM79" i="3"/>
  <c r="BM80" i="3"/>
  <c r="BM81" i="3"/>
  <c r="BM82" i="3"/>
  <c r="BM83" i="3"/>
  <c r="BM84" i="3"/>
  <c r="BM85" i="3"/>
  <c r="BM86" i="3"/>
  <c r="BM87" i="3"/>
  <c r="BM88" i="3"/>
  <c r="BM89" i="3"/>
  <c r="BM90" i="3"/>
  <c r="BM91" i="3"/>
  <c r="BM92" i="3"/>
  <c r="BM93" i="3"/>
  <c r="BM94" i="3"/>
  <c r="BM95" i="3"/>
  <c r="BM96" i="3"/>
  <c r="BM97" i="3"/>
  <c r="BM98" i="3"/>
  <c r="BM99" i="3"/>
  <c r="BM100" i="3"/>
  <c r="BM101" i="3"/>
  <c r="BM102" i="3"/>
  <c r="BM103" i="3"/>
  <c r="BM104" i="3"/>
  <c r="BM105" i="3"/>
  <c r="BM106" i="3"/>
  <c r="BM107" i="3"/>
  <c r="BM108" i="3"/>
  <c r="BM109" i="3"/>
  <c r="BM110" i="3"/>
  <c r="BM111" i="3"/>
  <c r="BM112" i="3"/>
  <c r="BM113" i="3"/>
  <c r="BM114" i="3"/>
  <c r="BM115" i="3"/>
  <c r="BM116" i="3"/>
  <c r="BM117" i="3"/>
  <c r="BM118" i="3"/>
  <c r="BM119" i="3"/>
  <c r="BM120" i="3"/>
  <c r="BM121" i="3"/>
  <c r="BM122" i="3"/>
  <c r="BM123" i="3"/>
  <c r="BM124" i="3"/>
  <c r="BM125" i="3"/>
  <c r="BM126" i="3"/>
  <c r="BM127" i="3"/>
  <c r="BM128" i="3"/>
  <c r="BM129" i="3"/>
  <c r="BM130" i="3"/>
  <c r="BM131" i="3"/>
  <c r="BM132" i="3"/>
  <c r="BM133" i="3"/>
  <c r="BM134" i="3"/>
  <c r="BM135" i="3"/>
  <c r="BM136" i="3"/>
  <c r="BM137" i="3"/>
  <c r="BM138" i="3"/>
  <c r="BM139" i="3"/>
  <c r="BM140" i="3"/>
  <c r="BM141" i="3"/>
  <c r="BM142" i="3"/>
  <c r="BM143" i="3"/>
  <c r="BM144" i="3"/>
  <c r="BM145" i="3"/>
  <c r="BM146" i="3"/>
  <c r="BM148" i="3"/>
  <c r="BM149" i="3"/>
  <c r="BM150" i="3"/>
  <c r="BM151" i="3"/>
  <c r="BM152" i="3"/>
  <c r="BM153" i="3"/>
  <c r="BM154" i="3"/>
  <c r="BM155" i="3"/>
  <c r="BM156" i="3"/>
  <c r="BM3" i="3"/>
  <c r="B2" i="4"/>
  <c r="B3" i="4"/>
  <c r="Q3" i="4"/>
  <c r="L4" i="4"/>
  <c r="M5" i="4"/>
  <c r="Q6" i="4"/>
  <c r="N7" i="4"/>
  <c r="N8" i="4"/>
  <c r="N9" i="4"/>
  <c r="M10" i="4"/>
  <c r="M11" i="4"/>
  <c r="L14" i="4"/>
  <c r="O8" i="4"/>
  <c r="M4" i="4" l="1"/>
  <c r="L7" i="4"/>
  <c r="L6" i="4"/>
  <c r="L5" i="4"/>
  <c r="N10" i="4"/>
  <c r="I169" i="5"/>
  <c r="H1" i="5" s="1"/>
  <c r="L11" i="4"/>
  <c r="T2" i="4"/>
  <c r="T3" i="4"/>
  <c r="T4" i="4"/>
  <c r="T5" i="4"/>
  <c r="M9" i="4"/>
  <c r="N6" i="4"/>
  <c r="G2" i="4"/>
  <c r="F3" i="4"/>
  <c r="G4" i="4"/>
  <c r="F5" i="4"/>
  <c r="E6" i="4"/>
  <c r="G7" i="4"/>
  <c r="B8" i="4"/>
  <c r="G9" i="4"/>
  <c r="S2" i="4"/>
  <c r="U2" i="4" s="1"/>
  <c r="S3" i="4"/>
  <c r="V3" i="4" s="1"/>
  <c r="S4" i="4"/>
  <c r="V4" i="4" s="1"/>
  <c r="S5" i="4"/>
  <c r="V5" i="4" s="1"/>
  <c r="Z4" i="4"/>
  <c r="Z3" i="4"/>
  <c r="Z2" i="4"/>
  <c r="B10" i="4"/>
  <c r="E10" i="4"/>
  <c r="F10" i="4"/>
  <c r="G10" i="4"/>
  <c r="M13" i="4"/>
  <c r="M14" i="4"/>
  <c r="Q11" i="4"/>
  <c r="Q12" i="4"/>
  <c r="Q13" i="4"/>
  <c r="Q14" i="4"/>
  <c r="N11" i="4"/>
  <c r="N12" i="4"/>
  <c r="N14" i="4"/>
  <c r="L13" i="4"/>
  <c r="N3" i="4"/>
  <c r="Z5" i="4"/>
  <c r="O10" i="4"/>
  <c r="O3" i="4"/>
  <c r="W4" i="4"/>
  <c r="W5" i="4"/>
  <c r="O11" i="4"/>
  <c r="W3" i="4"/>
  <c r="O14" i="4"/>
  <c r="O12" i="4"/>
  <c r="O13" i="4"/>
  <c r="O6" i="4"/>
  <c r="Y35" i="5" l="1"/>
  <c r="Z35" i="5" s="1"/>
  <c r="U35" i="5"/>
  <c r="V35" i="5" s="1"/>
  <c r="M13" i="5"/>
  <c r="Y2" i="4"/>
  <c r="F9" i="4"/>
  <c r="Q9" i="4"/>
  <c r="M7" i="4"/>
  <c r="Y3" i="4"/>
  <c r="L9" i="4"/>
  <c r="M6" i="4"/>
  <c r="M8" i="4"/>
  <c r="L8" i="4"/>
  <c r="G3" i="4"/>
  <c r="K21" i="5"/>
  <c r="E2" i="4"/>
  <c r="N5" i="4"/>
  <c r="F7" i="4"/>
  <c r="L10" i="4"/>
  <c r="Q10" i="4"/>
  <c r="B4" i="4"/>
  <c r="F2" i="4"/>
  <c r="E7" i="4"/>
  <c r="Q7" i="4"/>
  <c r="E3" i="4"/>
  <c r="E9" i="4"/>
  <c r="Q8" i="4"/>
  <c r="G5" i="4"/>
  <c r="B9" i="4"/>
  <c r="F4" i="4"/>
  <c r="U3" i="4"/>
  <c r="U5" i="4"/>
  <c r="B7" i="4"/>
  <c r="M3" i="4"/>
  <c r="Y5" i="4"/>
  <c r="L3" i="4"/>
  <c r="E8" i="4"/>
  <c r="U4" i="4"/>
  <c r="Y4" i="4"/>
  <c r="G6" i="4"/>
  <c r="Q5" i="4"/>
  <c r="E4" i="4"/>
  <c r="Q4" i="4"/>
  <c r="N4" i="4"/>
  <c r="E5" i="4"/>
  <c r="G8" i="4"/>
  <c r="F8" i="4"/>
  <c r="B5" i="4"/>
  <c r="B6" i="4"/>
  <c r="F6" i="4"/>
  <c r="V2" i="4"/>
  <c r="O7" i="4"/>
  <c r="O5" i="4"/>
  <c r="O4" i="4"/>
  <c r="O9" i="4"/>
  <c r="W2" i="4"/>
  <c r="M7" i="5" l="1"/>
  <c r="M18" i="5"/>
  <c r="L21" i="5" s="1"/>
  <c r="U19" i="5"/>
  <c r="V19" i="5" s="1"/>
  <c r="BM185" i="3"/>
  <c r="BM184" i="3"/>
  <c r="BM183" i="3"/>
  <c r="BM182" i="3"/>
  <c r="BM181" i="3"/>
  <c r="BM180" i="3"/>
  <c r="BM179" i="3"/>
  <c r="BM178" i="3"/>
  <c r="BM177" i="3"/>
  <c r="BM176" i="3"/>
  <c r="BM175" i="3"/>
  <c r="BM174" i="3"/>
  <c r="BM173" i="3"/>
  <c r="BM172" i="3"/>
  <c r="BM171" i="3"/>
  <c r="BM170" i="3"/>
  <c r="BM169" i="3"/>
  <c r="BM168" i="3"/>
  <c r="BM167" i="3"/>
  <c r="BM166" i="3"/>
  <c r="BM165" i="3"/>
  <c r="BM164" i="3"/>
  <c r="BM163" i="3"/>
  <c r="BM162" i="3"/>
  <c r="BM161" i="3"/>
  <c r="BM160" i="3"/>
  <c r="BM159" i="3"/>
  <c r="BM158" i="3"/>
  <c r="BM157" i="3"/>
  <c r="M21" i="5" l="1"/>
  <c r="BN3" i="3"/>
  <c r="W29" i="6"/>
  <c r="Y2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 PC1</author>
  </authors>
  <commentList>
    <comment ref="C46" authorId="0" shapeId="0" xr:uid="{4F884D57-DB3F-438A-9B00-4942BDDF0E30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صفاء إبراهيم بادي</t>
        </r>
      </text>
    </comment>
    <comment ref="I46" authorId="0" shapeId="0" xr:uid="{B2760E42-3532-49FA-B43D-50228C47415E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640</t>
        </r>
      </text>
    </comment>
    <comment ref="J46" authorId="0" shapeId="0" xr:uid="{933ED678-3484-4AB1-B80F-5EEF75206445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14/08/2026</t>
        </r>
      </text>
    </comment>
    <comment ref="K46" authorId="0" shapeId="0" xr:uid="{A03B9213-B004-4AF6-89F7-EF61B5A8E2AE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19,950,000
باقي 50 الف لنا من دفعه صفاء
</t>
        </r>
      </text>
    </comment>
    <comment ref="O48" authorId="0" shapeId="0" xr:uid="{4103935F-16C0-4EF9-B916-5B2F057831C3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130.000.000 </t>
        </r>
      </text>
    </comment>
    <comment ref="AQ64" authorId="0" shapeId="0" xr:uid="{F578D5FD-180A-47DC-822F-38130EFF016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مبلغ 6 مليون</t>
        </r>
      </text>
    </comment>
    <comment ref="C65" authorId="0" shapeId="0" xr:uid="{007EB174-DC5C-42B6-89A1-C91A0C45F01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فراس خضير لفته</t>
        </r>
      </text>
    </comment>
    <comment ref="K65" authorId="0" shapeId="0" xr:uid="{CDA4602D-6C7A-4D87-8F92-6533AD2AED3C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فراس خضير لفته
وصل            تاريخ                مبلغ
100,000,000      2025-8-9         449</t>
        </r>
      </text>
    </comment>
    <comment ref="O65" authorId="0" shapeId="0" xr:uid="{EE12DDB6-5A8F-4A88-9521-84B8C444E4F0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تم دفع 135 مليون في 
وصل544 
بتاريخ 2026-2-16
اديب حسن حسون</t>
        </r>
      </text>
    </comment>
    <comment ref="S65" authorId="0" shapeId="0" xr:uid="{CB5A4AAE-5150-4C85-A03C-BB89CE39316B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تم دفع 20 مليون في 
 وصل545 
بتاريخ 2026-2-16
اديب حسن حسون
</t>
        </r>
      </text>
    </comment>
    <comment ref="AQ66" authorId="0" shapeId="0" xr:uid="{C292D086-CF3F-443C-AFC7-7161C9B12B81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4 مليون </t>
        </r>
      </text>
    </comment>
    <comment ref="AU69" authorId="0" shapeId="0" xr:uid="{8A53D967-0B09-43C4-920A-8A83BC20054B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دافع 8 بهذا وصل لكن الدفعه ال 9 جان دافع 4  </t>
        </r>
      </text>
    </comment>
    <comment ref="AI70" authorId="0" shapeId="0" xr:uid="{890D153C-5656-46F2-A95A-980AAD0D9BAF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2 مليون تم دفع في وصل 558
بتاريخ 2026-3-1</t>
        </r>
      </text>
    </comment>
    <comment ref="AI71" authorId="0" shapeId="0" xr:uid="{2882BF08-D9DF-43F0-A96B-328F59D1756E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2 مليون</t>
        </r>
      </text>
    </comment>
    <comment ref="AM72" authorId="0" shapeId="0" xr:uid="{2BE1D04B-A2F0-4D5D-A37F-EF44BA168D0C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3 مليون</t>
        </r>
      </text>
    </comment>
    <comment ref="W74" authorId="0" shapeId="0" xr:uid="{8AEDD865-2D79-4005-AC90-5194B6CA2271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62 الف</t>
        </r>
      </text>
    </comment>
    <comment ref="AI75" authorId="0" shapeId="0" xr:uid="{B5B99CF0-80A7-4C14-81DC-AC4088054368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وباقي 2.1 مليون
</t>
        </r>
      </text>
    </comment>
    <comment ref="AE86" authorId="0" shapeId="0" xr:uid="{B0004020-4F6E-4B3D-89D5-2EA075D466B3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تم دفع 4 في وصل 559
بتاريخ 2026-3-1</t>
        </r>
      </text>
    </comment>
    <comment ref="AE88" authorId="0" shapeId="0" xr:uid="{88307093-C504-4E3C-BD0A-089C45C9CB55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دفعه 1-2-3-4-5-6</t>
        </r>
      </text>
    </comment>
    <comment ref="AE89" authorId="0" shapeId="0" xr:uid="{548ABB35-E2AF-4E1E-8EBA-DD99C12C0B19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دفعه 1-2-3-4-5-6</t>
        </r>
      </text>
    </comment>
    <comment ref="AQ91" authorId="0" shapeId="0" xr:uid="{770B96E5-FA33-4378-A41F-B5B7E2CB540B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3 مليون</t>
        </r>
      </text>
    </comment>
    <comment ref="C93" authorId="0" shapeId="0" xr:uid="{4AE45DA1-1950-4101-9411-83AE921A1C92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شعلان غافل حسن يطلب الشركة 46 مليون
</t>
        </r>
      </text>
    </comment>
    <comment ref="C99" authorId="0" shapeId="0" xr:uid="{3A349487-55BA-4A3C-B7D8-5142A456CB4B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عباس جميل كامل- ينتقل الى شريط الامامي </t>
        </r>
      </text>
    </comment>
    <comment ref="M99" authorId="0" shapeId="0" xr:uid="{6E2E18C7-ED6E-40DA-8077-2F7FB4EEECA8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باسم : مومل باسم بشير
</t>
        </r>
      </text>
    </comment>
    <comment ref="C100" authorId="0" shapeId="0" xr:uid="{6D1601BD-1BFA-4383-88A8-BC3D720EAE94}">
      <text>
        <r>
          <rPr>
            <b/>
            <sz val="9"/>
            <color indexed="81"/>
            <rFont val="Tahoma"/>
            <family val="2"/>
          </rPr>
          <t>جاسم عواد شناوه</t>
        </r>
      </text>
    </comment>
    <comment ref="G100" authorId="0" shapeId="0" xr:uid="{AF3783E8-BBDB-4968-B0F6-134B90297747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واصل نقدا</t>
        </r>
      </text>
    </comment>
    <comment ref="K100" authorId="0" shapeId="0" xr:uid="{F4EBFB06-5682-4B46-AAC1-DB355DDF6035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واصل نقدا 
وصل           تاريخ                مبلغ
135,000,000    2024-12-21      498</t>
        </r>
      </text>
    </comment>
    <comment ref="O100" authorId="0" shapeId="0" xr:uid="{CEB51455-6B0D-4BDE-B4FA-EA520F0A9412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          تاريخ                مبلغ
6,000,000      2024-10-30        30</t>
        </r>
      </text>
    </comment>
    <comment ref="S100" authorId="0" shapeId="0" xr:uid="{8E0C2BE1-CFE8-4B81-AF0C-31C677D15F58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          تاريخ                مبلغ
7,000,000      2024-10-30        31</t>
        </r>
      </text>
    </comment>
    <comment ref="W100" authorId="0" shapeId="0" xr:uid="{C6A2D648-8DEE-4BAC-BA41-A90C41B81635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           تاريخ                مبلغ
7,000,000      2025-1-25         200</t>
        </r>
      </text>
    </comment>
    <comment ref="AA100" authorId="0" shapeId="0" xr:uid="{7AEEF4C2-C098-49F4-BA4D-4E571B0AE267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          تاريخ                مبلغ
7,000,000      2025-4-5         310</t>
        </r>
      </text>
    </comment>
    <comment ref="AA103" authorId="0" shapeId="0" xr:uid="{112DE70B-21D0-4787-8618-4B4CB10B3D0F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2 مليون</t>
        </r>
      </text>
    </comment>
    <comment ref="AE106" authorId="0" shapeId="0" xr:uid="{BCA17069-30FF-400C-929E-280340BC8ED0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500 الف</t>
        </r>
      </text>
    </comment>
    <comment ref="AA110" authorId="0" shapeId="0" xr:uid="{A3917763-75AE-45B0-8973-2879E102A2DB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3 مليون... ثم دفعها في تاريخ 2026-1-26 رقم وصل 528</t>
        </r>
      </text>
    </comment>
    <comment ref="AE110" authorId="0" shapeId="0" xr:uid="{7052BB50-D41A-4AAD-B593-D666DE70A31D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مليون</t>
        </r>
      </text>
    </comment>
    <comment ref="AE111" authorId="0" shapeId="0" xr:uid="{AC89BFEC-09A6-4EC0-9D08-56FBD8D040BF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3 مليون</t>
        </r>
      </text>
    </comment>
    <comment ref="W112" authorId="0" shapeId="0" xr:uid="{6301E0FA-AA3F-4980-8194-965E4F6B813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2 مليون في وصلب 560 
بتاريخ 2026-3-2
</t>
        </r>
      </text>
    </comment>
    <comment ref="AE116" authorId="0" shapeId="0" xr:uid="{9F7BAACB-050B-4563-8EC0-8FEA0A7E58DE}">
      <text>
        <r>
          <rPr>
            <b/>
            <sz val="9"/>
            <color indexed="81"/>
            <rFont val="Tahoma"/>
            <family val="2"/>
          </rPr>
          <t>Mohamed PC1</t>
        </r>
        <r>
          <rPr>
            <sz val="9"/>
            <color indexed="81"/>
            <rFont val="Tahoma"/>
            <family val="2"/>
          </rPr>
          <t xml:space="preserve">ب
اله 5 الف زايده من دفعه ال4
</t>
        </r>
      </text>
    </comment>
    <comment ref="AI116" authorId="0" shapeId="0" xr:uid="{9B71D57A-EB0B-4485-9045-A1968E1A016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اله 5 الف زايدة من الدفعه ال 4</t>
        </r>
      </text>
    </comment>
    <comment ref="AA117" authorId="0" shapeId="0" xr:uid="{A2B063D3-C10F-41F9-A098-526EF1D89C95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تم دفع 4 في وصل 552 بتاريخ 2026-2-23</t>
        </r>
      </text>
    </comment>
    <comment ref="C126" authorId="0" shapeId="0" xr:uid="{BDA5B033-945E-4C79-8BDB-7DF016C75F3F}">
      <text>
        <r>
          <rPr>
            <b/>
            <sz val="9"/>
            <color indexed="81"/>
            <rFont val="Tahoma"/>
            <charset val="178"/>
          </rPr>
          <t>Mohamed PC1:</t>
        </r>
        <r>
          <rPr>
            <sz val="9"/>
            <color indexed="81"/>
            <rFont val="Tahoma"/>
            <charset val="178"/>
          </rPr>
          <t xml:space="preserve">
محمد جاسم محمد</t>
        </r>
      </text>
    </comment>
    <comment ref="K126" authorId="0" shapeId="0" xr:uid="{3CB32DE0-6A11-4AE1-BF55-46DE53A62544}">
      <text>
        <r>
          <rPr>
            <b/>
            <sz val="9"/>
            <color indexed="81"/>
            <rFont val="Tahoma"/>
            <charset val="178"/>
          </rPr>
          <t>Mohamed PC1:</t>
        </r>
        <r>
          <rPr>
            <sz val="9"/>
            <color indexed="81"/>
            <rFont val="Tahoma"/>
            <charset val="178"/>
          </rPr>
          <t xml:space="preserve">
محمد جاسم محمد
وصل            تاريخ                مبلغ
80,000,000      2026-7-12         630</t>
        </r>
      </text>
    </comment>
    <comment ref="S131" authorId="0" shapeId="0" xr:uid="{D4D0EAF2-B262-4FBF-9CE2-FBF5A895E2EA}">
      <text>
        <r>
          <rPr>
            <b/>
            <sz val="9"/>
            <color indexed="81"/>
            <rFont val="Tahoma"/>
            <family val="2"/>
          </rPr>
          <t xml:space="preserve">Mohamed PC1:
</t>
        </r>
        <r>
          <rPr>
            <sz val="9"/>
            <color indexed="81"/>
            <rFont val="Tahoma"/>
            <family val="2"/>
          </rPr>
          <t>باقي مبلغ 6 مليون</t>
        </r>
      </text>
    </comment>
    <comment ref="S132" authorId="0" shapeId="0" xr:uid="{2F2978E3-5B38-4398-BE3D-1C97C473770F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مبلغ 6 مليون</t>
        </r>
      </text>
    </comment>
    <comment ref="S133" authorId="0" shapeId="0" xr:uid="{6BF56D11-9885-4F09-BAFE-12CCEB7CF454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مبلغ 6 مليون</t>
        </r>
      </text>
    </comment>
    <comment ref="W143" authorId="0" shapeId="0" xr:uid="{BEA7125E-C145-4DA8-8346-26DB89618ECE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دفعه 1-2-3-4</t>
        </r>
      </text>
    </comment>
    <comment ref="AQ144" authorId="0" shapeId="0" xr:uid="{39541E6D-01D8-4E1F-9D95-18109C37CA5C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5 مليون</t>
        </r>
      </text>
    </comment>
    <comment ref="C146" authorId="0" shapeId="0" xr:uid="{F23D8AFA-6550-40BB-B1B5-B4B7854F4429}">
      <text>
        <r>
          <rPr>
            <b/>
            <sz val="9"/>
            <color indexed="81"/>
            <rFont val="Tahoma"/>
            <family val="2"/>
          </rPr>
          <t>مصطفى جاسم عواد</t>
        </r>
      </text>
    </comment>
    <comment ref="C156" authorId="0" shapeId="0" xr:uid="{2BEA20BA-054B-4CFC-A81E-866876978824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تم تحويل المبلغ 46 مليون الى وحده المرقمه 91 
</t>
        </r>
      </text>
    </comment>
    <comment ref="M156" authorId="0" shapeId="0" xr:uid="{2872C520-AEE1-4D35-8852-BA1353691FBC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 باسم : عبدالرحمن بشير خلف</t>
        </r>
      </text>
    </comment>
    <comment ref="AA156" authorId="0" shapeId="0" xr:uid="{C755881E-C737-41A6-972D-94716B41B64D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 تكمله في وصل 521 واحدمليون بتاريخ  يوم 
10-1-2026</t>
        </r>
      </text>
    </comment>
    <comment ref="AI156" authorId="0" shapeId="0" xr:uid="{F61707AD-D748-4B2E-867E-03E10E7B10CD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 PC1</author>
  </authors>
  <commentList>
    <comment ref="I176" authorId="0" shapeId="0" xr:uid="{E8E7E85E-9451-45EB-B789-43BB123E7539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المبلغ الأصلي 135 مليون</t>
        </r>
      </text>
    </comment>
    <comment ref="I195" authorId="0" shapeId="0" xr:uid="{47E33D1A-A6AB-46C8-8E77-C61227E6FD8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سحب المبلغ من وحده 63 
</t>
        </r>
      </text>
    </comment>
    <comment ref="F202" authorId="0" shapeId="0" xr:uid="{25D46E02-629A-4814-8FC9-40823C31B267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150 إصلاحات الوحدات 92-93 على دكتور نصير</t>
        </r>
      </text>
    </comment>
    <comment ref="I233" authorId="0" shapeId="0" xr:uid="{449D262F-38FF-4EC2-9B6B-C7E40B0117DC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500 دولار 
سعر صرف 156</t>
        </r>
      </text>
    </comment>
    <comment ref="I234" authorId="0" shapeId="0" xr:uid="{2B11768A-E819-437D-8559-ADCC114A864A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10 ورقه 
سعر الصرف 156
</t>
        </r>
      </text>
    </comment>
    <comment ref="I480" authorId="0" shapeId="0" xr:uid="{46313192-B1A1-4E86-BE88-8DAF59FA1037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عشره سابقه قبل القبض فصار مبلغ 260</t>
        </r>
      </text>
    </comment>
    <comment ref="B486" authorId="0" shapeId="0" xr:uid="{5FBEDACD-B250-4B3F-8777-D78A3272C6C6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وصل قديم بقيمه 31 م 
رقمه 1683 تالف 
استلم محمد 13 م </t>
        </r>
      </text>
    </comment>
    <comment ref="F535" authorId="0" shapeId="0" xr:uid="{71618BEF-5305-4D97-8DAC-93B3222F6F1A}">
      <text>
        <r>
          <rPr>
            <b/>
            <sz val="8"/>
            <color indexed="81"/>
            <rFont val="Tahoma"/>
            <family val="2"/>
          </rPr>
          <t>الباقي -- 
1,500,000 في وصل 1702
 - 650 اكمال رواتب أيوب  محمد مجيد + سلفه سيف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 PC1</author>
  </authors>
  <commentList>
    <comment ref="F9" authorId="0" shapeId="0" xr:uid="{0D063700-CCD0-4D6D-8A90-5D2AF4755C79}">
      <text>
        <r>
          <rPr>
            <b/>
            <sz val="8"/>
            <color indexed="81"/>
            <rFont val="Tahoma"/>
            <family val="2"/>
          </rPr>
          <t>واصل اله سابقا 300الف</t>
        </r>
      </text>
    </comment>
    <comment ref="F11" authorId="0" shapeId="0" xr:uid="{7C00A5CF-B5B9-4073-9440-0B83BDF0B7FA}">
      <text>
        <r>
          <rPr>
            <b/>
            <sz val="8"/>
            <color indexed="81"/>
            <rFont val="Tahoma"/>
            <family val="2"/>
          </rPr>
          <t>واصل سابقا 500 الف</t>
        </r>
      </text>
    </comment>
    <comment ref="W38" authorId="0" shapeId="0" xr:uid="{830202A8-612E-42AD-8FDD-8F08AC983BC6}">
      <text>
        <r>
          <rPr>
            <b/>
            <sz val="8"/>
            <color indexed="81"/>
            <rFont val="Tahoma"/>
            <family val="2"/>
          </rPr>
          <t>الباقي -- 
1,500,000 في وصل 1702
 - 650 اكمال رواتب أيوب  محمد مجيد + سلفه سيف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 PC1</author>
  </authors>
  <commentList>
    <comment ref="Z2" authorId="0" shapeId="0" xr:uid="{A4CC0806-61F7-42C3-95DB-A13F801A4922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واصل نقدا 
وصل           تاريخ                مبلغ
    2024-5-24      لا يوجد</t>
        </r>
      </text>
    </comment>
    <comment ref="F9" authorId="0" shapeId="0" xr:uid="{54976DF8-DF15-4F0E-A93C-0E95B0961A56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باقي 150 إصلاحات الوحدات 92-93 على دكتور نصير</t>
        </r>
      </text>
    </comment>
    <comment ref="I42" authorId="0" shapeId="0" xr:uid="{816D08AF-8149-4031-A14C-045DE2758AD4}">
      <text>
        <r>
          <rPr>
            <b/>
            <sz val="9"/>
            <color indexed="81"/>
            <rFont val="Tahoma"/>
            <family val="2"/>
          </rPr>
          <t>Mohamed PC1:</t>
        </r>
        <r>
          <rPr>
            <sz val="9"/>
            <color indexed="81"/>
            <rFont val="Tahoma"/>
            <family val="2"/>
          </rPr>
          <t xml:space="preserve">
500 دولار 
سعر صرف 156</t>
        </r>
      </text>
    </comment>
  </commentList>
</comments>
</file>

<file path=xl/sharedStrings.xml><?xml version="1.0" encoding="utf-8"?>
<sst xmlns="http://schemas.openxmlformats.org/spreadsheetml/2006/main" count="5421" uniqueCount="1976">
  <si>
    <t>ت</t>
  </si>
  <si>
    <t>رقم الوصل</t>
  </si>
  <si>
    <t>التاريخ</t>
  </si>
  <si>
    <t>الصنف</t>
  </si>
  <si>
    <t>الاسم</t>
  </si>
  <si>
    <t>التفاصيل</t>
  </si>
  <si>
    <t>الملاحظات</t>
  </si>
  <si>
    <t>المبلغ</t>
  </si>
  <si>
    <t>1260</t>
  </si>
  <si>
    <t>صرفيات الموقع</t>
  </si>
  <si>
    <t>حاتم قاسم</t>
  </si>
  <si>
    <t>أجور عمل كهرباء 14 يوم</t>
  </si>
  <si>
    <t>1261</t>
  </si>
  <si>
    <t>سعد راضي</t>
  </si>
  <si>
    <t>حداد -وحده 86</t>
  </si>
  <si>
    <t>دفعات المستفيدين</t>
  </si>
  <si>
    <t>1262</t>
  </si>
  <si>
    <t>دكتور نصير</t>
  </si>
  <si>
    <t xml:space="preserve">دفعة السابعة العقد المبرم </t>
  </si>
  <si>
    <t>1263</t>
  </si>
  <si>
    <t>شتايكر رقم دار 92-93</t>
  </si>
  <si>
    <t>صرفيات الشركة</t>
  </si>
  <si>
    <t>1264</t>
  </si>
  <si>
    <t>سحب المبالغ</t>
  </si>
  <si>
    <t>1265</t>
  </si>
  <si>
    <t>مهلي</t>
  </si>
  <si>
    <t>قبض المبالغ</t>
  </si>
  <si>
    <t>1266</t>
  </si>
  <si>
    <t>مطبعة راضي</t>
  </si>
  <si>
    <t>استيكرات</t>
  </si>
  <si>
    <t>1267</t>
  </si>
  <si>
    <t>معارض المصطفى</t>
  </si>
  <si>
    <t>شراء شاشة اوناكس 75 سمارت -عدد 3</t>
  </si>
  <si>
    <t>512</t>
  </si>
  <si>
    <t>امل عبيد صفر</t>
  </si>
  <si>
    <t>ZA5-128</t>
  </si>
  <si>
    <t>513</t>
  </si>
  <si>
    <t>احمد عجيل مطر</t>
  </si>
  <si>
    <t>ZA3-70</t>
  </si>
  <si>
    <t>514</t>
  </si>
  <si>
    <t>حسين غركان مسير</t>
  </si>
  <si>
    <t>ZA5-105</t>
  </si>
  <si>
    <t>1268</t>
  </si>
  <si>
    <t>محمد سامي</t>
  </si>
  <si>
    <t>تجهيز كهرباء وحدة- 92 +تجهيز مقعد شرقي عدد 17</t>
  </si>
  <si>
    <t>1269</t>
  </si>
  <si>
    <t>علي فاضل مجيد</t>
  </si>
  <si>
    <t>515</t>
  </si>
  <si>
    <t>هاني محسن نعيم</t>
  </si>
  <si>
    <t>ZA3-61</t>
  </si>
  <si>
    <t>1270</t>
  </si>
  <si>
    <t>اكرم حبيب عبد الرضا</t>
  </si>
  <si>
    <t>رواتب الموظفين الشركه للشهر الاثنى عشر</t>
  </si>
  <si>
    <t>الإدارية</t>
  </si>
  <si>
    <t>1271</t>
  </si>
  <si>
    <t>احسان حسين</t>
  </si>
  <si>
    <t>1272</t>
  </si>
  <si>
    <t>استعلامات</t>
  </si>
  <si>
    <t>1273</t>
  </si>
  <si>
    <t>احمد برزان</t>
  </si>
  <si>
    <t>الحسابات</t>
  </si>
  <si>
    <t>1274</t>
  </si>
  <si>
    <t>علي عمران عبد الحسين</t>
  </si>
  <si>
    <t>قانوني</t>
  </si>
  <si>
    <t>1276</t>
  </si>
  <si>
    <t>علي منصور</t>
  </si>
  <si>
    <t>حارس</t>
  </si>
  <si>
    <t>1278</t>
  </si>
  <si>
    <t>محمد جواد</t>
  </si>
  <si>
    <t>ايجار بناية</t>
  </si>
  <si>
    <t>516</t>
  </si>
  <si>
    <t>نوال محمد عبد</t>
  </si>
  <si>
    <t>ZA3-68</t>
  </si>
  <si>
    <t>517</t>
  </si>
  <si>
    <t>انوار عبد الحسن غلطه</t>
  </si>
  <si>
    <t>ZA3-73</t>
  </si>
  <si>
    <t>518</t>
  </si>
  <si>
    <t>عبدالستار علي محسن</t>
  </si>
  <si>
    <t>ZA5-110</t>
  </si>
  <si>
    <t>519</t>
  </si>
  <si>
    <t>اصيل جبار حسب</t>
  </si>
  <si>
    <t>ZA5-125</t>
  </si>
  <si>
    <t>1279</t>
  </si>
  <si>
    <t>هاتف حسب</t>
  </si>
  <si>
    <t>تجهيز حصو (سيد حسن عطشان)</t>
  </si>
  <si>
    <t>1280</t>
  </si>
  <si>
    <t>محمد فايز</t>
  </si>
  <si>
    <t>تنكر ماء 14 وصل فقط</t>
  </si>
  <si>
    <t>1281</t>
  </si>
  <si>
    <t>حسن علي سلمان</t>
  </si>
  <si>
    <t xml:space="preserve">تجهيز حدبد </t>
  </si>
  <si>
    <t>1282</t>
  </si>
  <si>
    <t>احمد الاسعد</t>
  </si>
  <si>
    <t>1283</t>
  </si>
  <si>
    <t>وسام سلمان جابر</t>
  </si>
  <si>
    <t>تجهيز حدبد - نظام صحيات</t>
  </si>
  <si>
    <t>1284</t>
  </si>
  <si>
    <t>سيف عباس محمد</t>
  </si>
  <si>
    <t>1285</t>
  </si>
  <si>
    <t>سناء</t>
  </si>
  <si>
    <t>ايجار البناية</t>
  </si>
  <si>
    <t>1286</t>
  </si>
  <si>
    <t>علي فاضل</t>
  </si>
  <si>
    <t>مصاريف الشركة</t>
  </si>
  <si>
    <t>1287</t>
  </si>
  <si>
    <t>ابومرتضى</t>
  </si>
  <si>
    <t xml:space="preserve">سحب مبلغ </t>
  </si>
  <si>
    <t>1288</t>
  </si>
  <si>
    <t>شتايكر دار 19</t>
  </si>
  <si>
    <t>1289</t>
  </si>
  <si>
    <t>1290</t>
  </si>
  <si>
    <t>القاضي عبدالله</t>
  </si>
  <si>
    <t>ايجار منزل - دكتور نصير</t>
  </si>
  <si>
    <t>1291</t>
  </si>
  <si>
    <t>مسلم علي حسن</t>
  </si>
  <si>
    <t>خلفة بناء</t>
  </si>
  <si>
    <t>1292</t>
  </si>
  <si>
    <t>احمد عمارة</t>
  </si>
  <si>
    <t>دفعة خطة التمويل</t>
  </si>
  <si>
    <t>1293</t>
  </si>
  <si>
    <t>صب سقف - نجارة وحدادة -دار 154</t>
  </si>
  <si>
    <t>1294</t>
  </si>
  <si>
    <t xml:space="preserve">حيدر </t>
  </si>
  <si>
    <t>صب بيتونة</t>
  </si>
  <si>
    <t>1295</t>
  </si>
  <si>
    <t>أجور نقل</t>
  </si>
  <si>
    <t>1296</t>
  </si>
  <si>
    <t xml:space="preserve">سيد باسم كاظم </t>
  </si>
  <si>
    <t>تجهيز طابوق</t>
  </si>
  <si>
    <t>1297</t>
  </si>
  <si>
    <t>مكتب لاستشاري</t>
  </si>
  <si>
    <t>1298</t>
  </si>
  <si>
    <t>مكتب ادم</t>
  </si>
  <si>
    <t>أجور متابعة</t>
  </si>
  <si>
    <t>1299</t>
  </si>
  <si>
    <t>1300</t>
  </si>
  <si>
    <t>سحب مبلغ - أبو مرتضى</t>
  </si>
  <si>
    <t>1301</t>
  </si>
  <si>
    <t>شراء مواد - الزقورة</t>
  </si>
  <si>
    <t>1302</t>
  </si>
  <si>
    <t>1303</t>
  </si>
  <si>
    <t>حارس قادة النصر</t>
  </si>
  <si>
    <t>1304</t>
  </si>
  <si>
    <t>522</t>
  </si>
  <si>
    <t>محمد فاضل حسين</t>
  </si>
  <si>
    <t>ZA3-65</t>
  </si>
  <si>
    <t>523</t>
  </si>
  <si>
    <t>عباس جواد كاظم ال خلف</t>
  </si>
  <si>
    <t>ZA3-66</t>
  </si>
  <si>
    <t>1305</t>
  </si>
  <si>
    <t>أجور نقل الاعمال</t>
  </si>
  <si>
    <t>1306</t>
  </si>
  <si>
    <t>مرتضى ناصر</t>
  </si>
  <si>
    <t>نجارة وحدادة البيتونات -97-98-99</t>
  </si>
  <si>
    <t>1307</t>
  </si>
  <si>
    <t>امانات -96-95</t>
  </si>
  <si>
    <t>1308</t>
  </si>
  <si>
    <t>أيوب عمران عبدالحسين</t>
  </si>
  <si>
    <t>1309</t>
  </si>
  <si>
    <t>سيد عدنان</t>
  </si>
  <si>
    <t>1311</t>
  </si>
  <si>
    <t>سيف ذو الفقار</t>
  </si>
  <si>
    <t>1312</t>
  </si>
  <si>
    <t>تجديد اشتراك المولد الخارجي</t>
  </si>
  <si>
    <t>524</t>
  </si>
  <si>
    <t>ZA4-96</t>
  </si>
  <si>
    <t>1313</t>
  </si>
  <si>
    <t>م.لارسا</t>
  </si>
  <si>
    <t>سحب مبلغ فقط</t>
  </si>
  <si>
    <t>1314</t>
  </si>
  <si>
    <t>1315</t>
  </si>
  <si>
    <t>عدي العتابي</t>
  </si>
  <si>
    <t>تجهيز اسمنت -النجمة مقاوم مكيس</t>
  </si>
  <si>
    <t>1316</t>
  </si>
  <si>
    <t>تجهيز اسمنت - مقاوم فله</t>
  </si>
  <si>
    <t>1317</t>
  </si>
  <si>
    <t>أنور نعمة</t>
  </si>
  <si>
    <t>تجهيز أبواب دار -65-66</t>
  </si>
  <si>
    <t>1318</t>
  </si>
  <si>
    <t>أجور عمل حداده صحيات</t>
  </si>
  <si>
    <t>525</t>
  </si>
  <si>
    <t>حيدر جليل خيون</t>
  </si>
  <si>
    <t>ZA3-67</t>
  </si>
  <si>
    <t>1319</t>
  </si>
  <si>
    <t>باسم كاظم</t>
  </si>
  <si>
    <t>1320</t>
  </si>
  <si>
    <t>صب بيتونات 74-77-78-79</t>
  </si>
  <si>
    <t>1321</t>
  </si>
  <si>
    <t>1322</t>
  </si>
  <si>
    <t>1323</t>
  </si>
  <si>
    <t>اعمال المنيوم دار - 92 - 93- الدفعه الأولى</t>
  </si>
  <si>
    <t>1324</t>
  </si>
  <si>
    <t>بركات موسى الكاظم</t>
  </si>
  <si>
    <t>شراء مواد انشائية</t>
  </si>
  <si>
    <t>1325</t>
  </si>
  <si>
    <t>1326</t>
  </si>
  <si>
    <t>غلامي</t>
  </si>
  <si>
    <t>صرفيات الموقع -الايرانيين</t>
  </si>
  <si>
    <t>526</t>
  </si>
  <si>
    <t>صفاء عبدالحسن عداي</t>
  </si>
  <si>
    <t>ZA4-94</t>
  </si>
  <si>
    <t>1327</t>
  </si>
  <si>
    <t>شتايكر دار 91</t>
  </si>
  <si>
    <t>1328</t>
  </si>
  <si>
    <t>اعمال المنيوم دار - 92 - 93- الدفعه الثانية</t>
  </si>
  <si>
    <t>1329</t>
  </si>
  <si>
    <t>أجور نقل مخططات الى بغدادِ</t>
  </si>
  <si>
    <t>1330</t>
  </si>
  <si>
    <t>مكتبة</t>
  </si>
  <si>
    <t>ختم</t>
  </si>
  <si>
    <t>1331</t>
  </si>
  <si>
    <t>1332</t>
  </si>
  <si>
    <t>دفعة الثامنة العقد المبروم</t>
  </si>
  <si>
    <t>سجاد</t>
  </si>
  <si>
    <t>الحسابات العامة ل شركة الجوهرة ل سنة 2026</t>
  </si>
  <si>
    <t>+</t>
  </si>
  <si>
    <t>المنطقة</t>
  </si>
  <si>
    <t>اسم المستفيد</t>
  </si>
  <si>
    <t>رقم الهاتف</t>
  </si>
  <si>
    <t>السابق</t>
  </si>
  <si>
    <t>الرمز</t>
  </si>
  <si>
    <t>الملاحظات المالية</t>
  </si>
  <si>
    <t>الدفعة 1</t>
  </si>
  <si>
    <t>الدفعة 2</t>
  </si>
  <si>
    <t>الدفعة 3</t>
  </si>
  <si>
    <t>الدفعة 4</t>
  </si>
  <si>
    <t>الدفعة 5</t>
  </si>
  <si>
    <t>الدفعة 6</t>
  </si>
  <si>
    <t>الدفعة 7</t>
  </si>
  <si>
    <t>الدفعة 8</t>
  </si>
  <si>
    <t>الدفعة 9</t>
  </si>
  <si>
    <t>الدفعة 10</t>
  </si>
  <si>
    <t>الدفعة 11</t>
  </si>
  <si>
    <t>الدفعة 12</t>
  </si>
  <si>
    <t>الدفعة 13</t>
  </si>
  <si>
    <t>الدفعة 14</t>
  </si>
  <si>
    <t>مجموع الدفعات</t>
  </si>
  <si>
    <t>المجموع الكلي</t>
  </si>
  <si>
    <t>الوصل</t>
  </si>
  <si>
    <t>تاريخ</t>
  </si>
  <si>
    <t>Z-A1</t>
  </si>
  <si>
    <t>علي نجيب رستم</t>
  </si>
  <si>
    <t>غير متوفر</t>
  </si>
  <si>
    <t>غصون محمد حردان</t>
  </si>
  <si>
    <t>07832772728</t>
  </si>
  <si>
    <t>مسلم محمد لفته ال حسين</t>
  </si>
  <si>
    <t>07860135777</t>
  </si>
  <si>
    <t>مصطفى صكبان انعيمه</t>
  </si>
  <si>
    <t>07813811566</t>
  </si>
  <si>
    <t>علي جبار عبدالحسين</t>
  </si>
  <si>
    <t>07807272703</t>
  </si>
  <si>
    <t>احمد جبار اسماعيل</t>
  </si>
  <si>
    <t>07818886861</t>
  </si>
  <si>
    <t>ساجد جبار عبيد</t>
  </si>
  <si>
    <t>ضياء مهنة خير الله</t>
  </si>
  <si>
    <t>07818901195</t>
  </si>
  <si>
    <t>عبدالعزيز يسر عبدالحسن</t>
  </si>
  <si>
    <t>07807382853</t>
  </si>
  <si>
    <t>ماجد عزيز كاظم</t>
  </si>
  <si>
    <t>07812020009</t>
  </si>
  <si>
    <t>هدى فرحان محمد</t>
  </si>
  <si>
    <t>07831989998</t>
  </si>
  <si>
    <t>جعفر عبد الحسين صاحب</t>
  </si>
  <si>
    <t>100 مليون</t>
  </si>
  <si>
    <t>احمد مكطوف علي</t>
  </si>
  <si>
    <t>واصل نقدا ابومرتضى</t>
  </si>
  <si>
    <t>كفاية محمد عباس</t>
  </si>
  <si>
    <t>07727467797</t>
  </si>
  <si>
    <t>لايوجد</t>
  </si>
  <si>
    <t>عباس شعلان منشد</t>
  </si>
  <si>
    <t>نزار نجم عبدالله</t>
  </si>
  <si>
    <t>سجى صباح مجيد</t>
  </si>
  <si>
    <t>07848999510</t>
  </si>
  <si>
    <t>باسم عبد الخضر داخل</t>
  </si>
  <si>
    <t>349-424</t>
  </si>
  <si>
    <t>محمد جعفر عبد الحسين</t>
  </si>
  <si>
    <t>علي كاظم صكبان</t>
  </si>
  <si>
    <t>Z-A2</t>
  </si>
  <si>
    <t>حيدر عبد لفته</t>
  </si>
  <si>
    <t>07811412301</t>
  </si>
  <si>
    <t>انس مالك صبار</t>
  </si>
  <si>
    <t>07811991183</t>
  </si>
  <si>
    <t>نؤاس عبدالله عامر</t>
  </si>
  <si>
    <t>07807573530</t>
  </si>
  <si>
    <t>عبد الخالق علكم سعيد والي</t>
  </si>
  <si>
    <t>07812432120</t>
  </si>
  <si>
    <t>فاضل حسين لهمود</t>
  </si>
  <si>
    <t>07802659917</t>
  </si>
  <si>
    <t>عبدالله مسلم شطب</t>
  </si>
  <si>
    <t>07725529329</t>
  </si>
  <si>
    <t>حميده كاظم شنجار</t>
  </si>
  <si>
    <t>حسين عبدالحسين جبار</t>
  </si>
  <si>
    <t>07826778425</t>
  </si>
  <si>
    <t>علي طالب مشيجل</t>
  </si>
  <si>
    <t>07807244100</t>
  </si>
  <si>
    <t>سام قيس نعمة</t>
  </si>
  <si>
    <t>07814313100</t>
  </si>
  <si>
    <t>جعفر جابر منحر</t>
  </si>
  <si>
    <t>07810175470</t>
  </si>
  <si>
    <t>جوهرة</t>
  </si>
  <si>
    <t>محمد خلف سلطان</t>
  </si>
  <si>
    <t>07826339970</t>
  </si>
  <si>
    <t>احمد دحام نزال مناحي</t>
  </si>
  <si>
    <t>07803041922</t>
  </si>
  <si>
    <t>مرتضى غازي فياض</t>
  </si>
  <si>
    <t>07802675500</t>
  </si>
  <si>
    <t>علي عبد الكاظم</t>
  </si>
  <si>
    <t>07801122312</t>
  </si>
  <si>
    <t>محمد جواد عبدالله الهذال</t>
  </si>
  <si>
    <t>75 مليون</t>
  </si>
  <si>
    <t>علاء كامل صكبان</t>
  </si>
  <si>
    <t>07803140386</t>
  </si>
  <si>
    <t>صكبان كامل صكبان</t>
  </si>
  <si>
    <t>حسين ماجد طعمة</t>
  </si>
  <si>
    <t>07800020007</t>
  </si>
  <si>
    <t>صباح مجيد عليوي</t>
  </si>
  <si>
    <t>رجب عبدالله مزيعل</t>
  </si>
  <si>
    <t>07808008201</t>
  </si>
  <si>
    <t>نور حبيب نور الجابري</t>
  </si>
  <si>
    <t>حميده مسير مخيلف</t>
  </si>
  <si>
    <t>130 مليون</t>
  </si>
  <si>
    <t>نواف قيس موازي</t>
  </si>
  <si>
    <t>زينب جواد عبدالله</t>
  </si>
  <si>
    <t>محمد عباس محمد</t>
  </si>
  <si>
    <t>Z-A3</t>
  </si>
  <si>
    <t>أحمد مكطوف علي</t>
  </si>
  <si>
    <t>07816344881</t>
  </si>
  <si>
    <t>احمد عماد حسين</t>
  </si>
  <si>
    <t>07828110054</t>
  </si>
  <si>
    <t>483-506</t>
  </si>
  <si>
    <t>نوار مجيد ناصر</t>
  </si>
  <si>
    <t>احمد محمد خيون</t>
  </si>
  <si>
    <t>07808405892</t>
  </si>
  <si>
    <t>143-174</t>
  </si>
  <si>
    <t>حيدر شريف محمد</t>
  </si>
  <si>
    <t>07831062705</t>
  </si>
  <si>
    <t>ميساء ماجد كحامي</t>
  </si>
  <si>
    <t>علاء الدين غازي خيري</t>
  </si>
  <si>
    <t>07808228187</t>
  </si>
  <si>
    <t>309-370</t>
  </si>
  <si>
    <t>07803530182</t>
  </si>
  <si>
    <t>61-102</t>
  </si>
  <si>
    <t>284-352</t>
  </si>
  <si>
    <t>380-407</t>
  </si>
  <si>
    <t>سيف عبد العظيم عطيه</t>
  </si>
  <si>
    <t>07811191166</t>
  </si>
  <si>
    <t>فراس خضير لفته</t>
  </si>
  <si>
    <t>واصل نقدا</t>
  </si>
  <si>
    <t>الهام صالح طويش</t>
  </si>
  <si>
    <t>07812279282</t>
  </si>
  <si>
    <t>محمد فاضل حسين ال عليوي</t>
  </si>
  <si>
    <t>07810886842</t>
  </si>
  <si>
    <t>356-390</t>
  </si>
  <si>
    <t>07802100087</t>
  </si>
  <si>
    <t>357-391</t>
  </si>
  <si>
    <t>07832050455</t>
  </si>
  <si>
    <t>406-525</t>
  </si>
  <si>
    <t>07810996006</t>
  </si>
  <si>
    <t>حيدر علي ذياب</t>
  </si>
  <si>
    <t>07806162624</t>
  </si>
  <si>
    <t>149-238</t>
  </si>
  <si>
    <t>438-495</t>
  </si>
  <si>
    <t>07821411799</t>
  </si>
  <si>
    <t>167-267</t>
  </si>
  <si>
    <t>268-308-363</t>
  </si>
  <si>
    <t>363-513</t>
  </si>
  <si>
    <t>علي حسين وثيج</t>
  </si>
  <si>
    <t>07807964779</t>
  </si>
  <si>
    <t>400-416</t>
  </si>
  <si>
    <t>عزت قادر خليف</t>
  </si>
  <si>
    <t>07828908747</t>
  </si>
  <si>
    <t>07827042244</t>
  </si>
  <si>
    <t>مها عبدالطيف سايل</t>
  </si>
  <si>
    <t>07821525547</t>
  </si>
  <si>
    <t>هديل خلف عبد الرضا</t>
  </si>
  <si>
    <t>07810178132</t>
  </si>
  <si>
    <t>اسيل نبيل شريف</t>
  </si>
  <si>
    <t>07814222060</t>
  </si>
  <si>
    <t>457-462</t>
  </si>
  <si>
    <t>غالب محمد مزعل</t>
  </si>
  <si>
    <t>07810604318</t>
  </si>
  <si>
    <t>وائل جواد جبر</t>
  </si>
  <si>
    <t>07827042402</t>
  </si>
  <si>
    <t>احسان علي عبد</t>
  </si>
  <si>
    <t>07826308447</t>
  </si>
  <si>
    <t>63-179</t>
  </si>
  <si>
    <t>قصي كاظم بدر</t>
  </si>
  <si>
    <t>07829845053</t>
  </si>
  <si>
    <t>ميثم مجيد خليل</t>
  </si>
  <si>
    <t>07808242830</t>
  </si>
  <si>
    <t>65-129</t>
  </si>
  <si>
    <t>حيدر حسن طاهر</t>
  </si>
  <si>
    <t>07803140550</t>
  </si>
  <si>
    <t>علي راجي سالم</t>
  </si>
  <si>
    <t>355-403</t>
  </si>
  <si>
    <t>هيفاء كاظم عباس</t>
  </si>
  <si>
    <t>رضوان عدنان كامل</t>
  </si>
  <si>
    <t>07808158833</t>
  </si>
  <si>
    <t>07807790877</t>
  </si>
  <si>
    <t>Z-A4</t>
  </si>
  <si>
    <t>ازل نصيف جاسم</t>
  </si>
  <si>
    <t>خضر ريسان عباس</t>
  </si>
  <si>
    <t>07816101166</t>
  </si>
  <si>
    <t>حياة محيبس علي</t>
  </si>
  <si>
    <t>07807650231</t>
  </si>
  <si>
    <t>شعلان غافل حسن</t>
  </si>
  <si>
    <t>07807548343</t>
  </si>
  <si>
    <t>عمران عبدالحسين حسن</t>
  </si>
  <si>
    <t>ناهده جاسم عبيد</t>
  </si>
  <si>
    <t>07801908178</t>
  </si>
  <si>
    <t>489-526</t>
  </si>
  <si>
    <t>مثنى حميد مجيد</t>
  </si>
  <si>
    <t>07830100707</t>
  </si>
  <si>
    <t>203-377</t>
  </si>
  <si>
    <t>378-423</t>
  </si>
  <si>
    <t>423-488</t>
  </si>
  <si>
    <t>165-429</t>
  </si>
  <si>
    <t>عباس جميل كامل</t>
  </si>
  <si>
    <t>07817199105</t>
  </si>
  <si>
    <t>قصي جلاب سعد</t>
  </si>
  <si>
    <t>07818386856</t>
  </si>
  <si>
    <t>Z-A5</t>
  </si>
  <si>
    <t>07830432881</t>
  </si>
  <si>
    <t>لمياء شاكر عليوي</t>
  </si>
  <si>
    <t>07809988054</t>
  </si>
  <si>
    <t xml:space="preserve">اسد حنون عيسى </t>
  </si>
  <si>
    <t>حسن هادي مطر</t>
  </si>
  <si>
    <t>07801376537</t>
  </si>
  <si>
    <t>هشام قدوري حسين</t>
  </si>
  <si>
    <t>07817710734</t>
  </si>
  <si>
    <t>411-447</t>
  </si>
  <si>
    <t>07811608688</t>
  </si>
  <si>
    <t>441-491-514</t>
  </si>
  <si>
    <t>علاء ابراهيم بادي</t>
  </si>
  <si>
    <t>07700177113</t>
  </si>
  <si>
    <t>اسيل نصيف جاسم</t>
  </si>
  <si>
    <t>07811730489</t>
  </si>
  <si>
    <t>احمد حسن جكان</t>
  </si>
  <si>
    <t>07827576556</t>
  </si>
  <si>
    <t>219-422</t>
  </si>
  <si>
    <t>سعد عزيز عطيه</t>
  </si>
  <si>
    <t>07816011838</t>
  </si>
  <si>
    <t>07722777477</t>
  </si>
  <si>
    <t>207-232</t>
  </si>
  <si>
    <t>ناديه رحمان حسان</t>
  </si>
  <si>
    <t>07825801417</t>
  </si>
  <si>
    <t>علي نوري قنبر</t>
  </si>
  <si>
    <t>07812315560</t>
  </si>
  <si>
    <t>257-324</t>
  </si>
  <si>
    <t>325-439</t>
  </si>
  <si>
    <t>وجدان وحيد كاطع هادي</t>
  </si>
  <si>
    <t>07818298072</t>
  </si>
  <si>
    <t>413-414</t>
  </si>
  <si>
    <t>رائد خضر يوسف</t>
  </si>
  <si>
    <t>07818558585</t>
  </si>
  <si>
    <t>حسين حميد علي</t>
  </si>
  <si>
    <t>07802881719</t>
  </si>
  <si>
    <t>منذر جاسم عبد علي</t>
  </si>
  <si>
    <t>07826292805</t>
  </si>
  <si>
    <t>07808009199</t>
  </si>
  <si>
    <t>مسلم محسن نعيم</t>
  </si>
  <si>
    <t>07800070122</t>
  </si>
  <si>
    <t>186-231</t>
  </si>
  <si>
    <t>حيدر ياسر جخري</t>
  </si>
  <si>
    <t>07806292202</t>
  </si>
  <si>
    <t>07801110091</t>
  </si>
  <si>
    <t>جعفر حيدر عبدالغني</t>
  </si>
  <si>
    <t>07800810075</t>
  </si>
  <si>
    <t>236-375</t>
  </si>
  <si>
    <t>سعد محمد شعيب</t>
  </si>
  <si>
    <t>07830111004</t>
  </si>
  <si>
    <t>حميد مونس عبد</t>
  </si>
  <si>
    <t>07827096218</t>
  </si>
  <si>
    <t>44-128</t>
  </si>
  <si>
    <t>محمد امين محمد</t>
  </si>
  <si>
    <t>07833093974</t>
  </si>
  <si>
    <t>07803015276</t>
  </si>
  <si>
    <t>احمد شاكر زغير</t>
  </si>
  <si>
    <t>07813336061</t>
  </si>
  <si>
    <t>علي كاظم محسن</t>
  </si>
  <si>
    <t>07831576519</t>
  </si>
  <si>
    <t>واصل 135 مليون</t>
  </si>
  <si>
    <t>07807924641</t>
  </si>
  <si>
    <t>Z-A6</t>
  </si>
  <si>
    <t>زينب وحيد سلمان</t>
  </si>
  <si>
    <t>07827402985</t>
  </si>
  <si>
    <t>حوراء حسن ثجيل</t>
  </si>
  <si>
    <t>Z-A7</t>
  </si>
  <si>
    <t>علي محمد لفته ال حسين</t>
  </si>
  <si>
    <t>علا مجيد ابراهيم</t>
  </si>
  <si>
    <t>07808742360</t>
  </si>
  <si>
    <t>سلام طالب عبد</t>
  </si>
  <si>
    <t>07811739881</t>
  </si>
  <si>
    <t>عبير ربيع محمد حسن</t>
  </si>
  <si>
    <t>07723752167</t>
  </si>
  <si>
    <t>اسماء نصيف جاسم</t>
  </si>
  <si>
    <t>07811144333</t>
  </si>
  <si>
    <t>هديل جبار حسب</t>
  </si>
  <si>
    <t>07819068788</t>
  </si>
  <si>
    <t>ندى علاء طالب</t>
  </si>
  <si>
    <t>07810626505</t>
  </si>
  <si>
    <t>محمد عبد الحسين خير الله</t>
  </si>
  <si>
    <t>07827167485</t>
  </si>
  <si>
    <t>261-314</t>
  </si>
  <si>
    <t>جبار حسب صيهود</t>
  </si>
  <si>
    <t>07801417409</t>
  </si>
  <si>
    <t>شيماء عدنان كامل</t>
  </si>
  <si>
    <t>07808478204</t>
  </si>
  <si>
    <t>اسراء حمد سهم</t>
  </si>
  <si>
    <t>07813915933</t>
  </si>
  <si>
    <t>مرتضى محسن مزيعل</t>
  </si>
  <si>
    <t>07831102737</t>
  </si>
  <si>
    <t>252-317</t>
  </si>
  <si>
    <t>332-342</t>
  </si>
  <si>
    <t>343-505</t>
  </si>
  <si>
    <t>احمد نصيف جاسم</t>
  </si>
  <si>
    <t>07827501242</t>
  </si>
  <si>
    <t>اسماعيل عويد سنام</t>
  </si>
  <si>
    <t>07802802635</t>
  </si>
  <si>
    <t>علي عبد حسن</t>
  </si>
  <si>
    <t>بنين رعد محمد</t>
  </si>
  <si>
    <t>07801575463</t>
  </si>
  <si>
    <t>بلسم حميد مونس</t>
  </si>
  <si>
    <t>07803198845</t>
  </si>
  <si>
    <t>91-156</t>
  </si>
  <si>
    <t>194-195</t>
  </si>
  <si>
    <t>عباس خليل محسن</t>
  </si>
  <si>
    <t>Z-A8</t>
  </si>
  <si>
    <t>سعود عبد الرضا حسن</t>
  </si>
  <si>
    <t>07711271998</t>
  </si>
  <si>
    <t>265-277</t>
  </si>
  <si>
    <t>جوادين رعد محمد</t>
  </si>
  <si>
    <t>07832054127</t>
  </si>
  <si>
    <t>07812309071</t>
  </si>
  <si>
    <t>07808379333</t>
  </si>
  <si>
    <t>وليد ناجي جفات</t>
  </si>
  <si>
    <t>07828223563</t>
  </si>
  <si>
    <t>عادل جبار عجيمي</t>
  </si>
  <si>
    <t>07802670212</t>
  </si>
  <si>
    <t>250-311</t>
  </si>
  <si>
    <t>312-446</t>
  </si>
  <si>
    <t>حيدر رسن شندوخ</t>
  </si>
  <si>
    <t>07831064610</t>
  </si>
  <si>
    <t>مصطفى سليم شريف</t>
  </si>
  <si>
    <t>07808589631</t>
  </si>
  <si>
    <t>ماهر طعيس برغش</t>
  </si>
  <si>
    <t>07803900456</t>
  </si>
  <si>
    <t>229-421</t>
  </si>
  <si>
    <t>حنان ارزيج عذاب</t>
  </si>
  <si>
    <t>مصدق باقر موسى</t>
  </si>
  <si>
    <t>07806132284</t>
  </si>
  <si>
    <t>عباس حسن تايه</t>
  </si>
  <si>
    <t>07801042468</t>
  </si>
  <si>
    <t>Z-B1</t>
  </si>
  <si>
    <t xml:space="preserve">صلاح حسن عبدالله </t>
  </si>
  <si>
    <t>07810042855</t>
  </si>
  <si>
    <t>مناهل هاشم موسى</t>
  </si>
  <si>
    <t>رقية رزاق كشيش ال عداي</t>
  </si>
  <si>
    <t>07813000678</t>
  </si>
  <si>
    <t>الدفعة الأولى فقط</t>
  </si>
  <si>
    <t>كرار داخل عبد بياد</t>
  </si>
  <si>
    <t>07807740039</t>
  </si>
  <si>
    <t>واصل 5 مليون فقط</t>
  </si>
  <si>
    <t xml:space="preserve">باقر جودة جابر </t>
  </si>
  <si>
    <t>07812649529</t>
  </si>
  <si>
    <t xml:space="preserve"> </t>
  </si>
  <si>
    <t>527</t>
  </si>
  <si>
    <t>1333</t>
  </si>
  <si>
    <t>رواتب الموظفين الشركه للشهر الثاتي عشر</t>
  </si>
  <si>
    <t>سلفة</t>
  </si>
  <si>
    <t>528</t>
  </si>
  <si>
    <t>ZA5-108</t>
  </si>
  <si>
    <t>422-528</t>
  </si>
  <si>
    <t>1334</t>
  </si>
  <si>
    <t>1335</t>
  </si>
  <si>
    <t>1336</t>
  </si>
  <si>
    <t>1337</t>
  </si>
  <si>
    <t>1338</t>
  </si>
  <si>
    <t>أبو مرتضى</t>
  </si>
  <si>
    <t>قبض مبلغ -بتاريخ (3-1-2026) وتم صرفة في وصل (1267)</t>
  </si>
  <si>
    <t>قبض مبلغ -بتاريخ (21-1-2026) وتم صرفة في وصل (1332)</t>
  </si>
  <si>
    <t>قبض مبلغ -بتاريخ (25-1-2026) وتم صرفة في وصل (1333)</t>
  </si>
  <si>
    <t>قبض مبلغ -بتاريخ (24-1-2026) وتم صرفة  (أجور تعاقد مع وزارة المالية)</t>
  </si>
  <si>
    <t>شراء مواد كهربائية</t>
  </si>
  <si>
    <t>سحب مبلغ</t>
  </si>
  <si>
    <t>رسم انذار</t>
  </si>
  <si>
    <t>اعمال المنيوم دار - 92 - 93- الدفعه الثالثة</t>
  </si>
  <si>
    <t>رواتب الموظفين 2026</t>
  </si>
  <si>
    <t>1339</t>
  </si>
  <si>
    <t>1340</t>
  </si>
  <si>
    <t>1341</t>
  </si>
  <si>
    <t>1342</t>
  </si>
  <si>
    <t>1343</t>
  </si>
  <si>
    <t>1344</t>
  </si>
  <si>
    <t>تجهيز مواد – 40 بأية ومراية -دار 92-93 + أجور نقل</t>
  </si>
  <si>
    <t>وليد علي</t>
  </si>
  <si>
    <t>اعمال المنيوم دار - 92 - 93- الدفعه الرابعة</t>
  </si>
  <si>
    <t>1345</t>
  </si>
  <si>
    <t>1346</t>
  </si>
  <si>
    <t>قبض مبلغ - وتم صرفة  (18,500,000) الى أبو طابوق (سيد رعد) وباقي لدى شركة</t>
  </si>
  <si>
    <t>جوادين رعد محمدِ</t>
  </si>
  <si>
    <t>بنين رعد محمدِ</t>
  </si>
  <si>
    <t>529</t>
  </si>
  <si>
    <t>530</t>
  </si>
  <si>
    <t>531</t>
  </si>
  <si>
    <t>ZA8-153</t>
  </si>
  <si>
    <t>ZA7-149</t>
  </si>
  <si>
    <t>مصطفى حيدر</t>
  </si>
  <si>
    <t>1347</t>
  </si>
  <si>
    <t>تجهيز أبواب خشب دار -92-93</t>
  </si>
  <si>
    <t>قحطان عدنان كامل</t>
  </si>
  <si>
    <t>532</t>
  </si>
  <si>
    <t>قحطان عدنان كاظم</t>
  </si>
  <si>
    <t>ZA7-144</t>
  </si>
  <si>
    <t>واصل نقدأ أبو مرتضى</t>
  </si>
  <si>
    <t>الشهر</t>
  </si>
  <si>
    <t>1</t>
  </si>
  <si>
    <t>1348</t>
  </si>
  <si>
    <t xml:space="preserve">مجموع صرفيات الشهر </t>
  </si>
  <si>
    <t>المجموع</t>
  </si>
  <si>
    <t>5</t>
  </si>
  <si>
    <t>2</t>
  </si>
  <si>
    <t>3</t>
  </si>
  <si>
    <t>4</t>
  </si>
  <si>
    <t>6</t>
  </si>
  <si>
    <t>7</t>
  </si>
  <si>
    <t>سحب مبلغ  الدفعة أبو مرتضى</t>
  </si>
  <si>
    <t>الإيرادات</t>
  </si>
  <si>
    <t>الصرفيات</t>
  </si>
  <si>
    <t>صرفيات بدون وصل</t>
  </si>
  <si>
    <t>ZA3-69</t>
  </si>
  <si>
    <t>حسن علي حسن</t>
  </si>
  <si>
    <t>اعمال تأسيس الماء للوحدات (129-130)</t>
  </si>
  <si>
    <t>الايرادات</t>
  </si>
  <si>
    <t>الباقي</t>
  </si>
  <si>
    <t>1350</t>
  </si>
  <si>
    <t>1351</t>
  </si>
  <si>
    <t>533</t>
  </si>
  <si>
    <t>1352</t>
  </si>
  <si>
    <t>اعمال بناء -ستارة وبيتونه للوحدات 111-110</t>
  </si>
  <si>
    <t>1353</t>
  </si>
  <si>
    <t>1354</t>
  </si>
  <si>
    <t>1355</t>
  </si>
  <si>
    <t>534</t>
  </si>
  <si>
    <t>سيف هاشم</t>
  </si>
  <si>
    <t>سلفة -شتايكر دار  90</t>
  </si>
  <si>
    <t>اقصاد إطارات سيارة - الدفعة الأولى</t>
  </si>
  <si>
    <t>تسلسل</t>
  </si>
  <si>
    <t>المبلغ الكلي</t>
  </si>
  <si>
    <t>1356</t>
  </si>
  <si>
    <t>1357</t>
  </si>
  <si>
    <t>1358</t>
  </si>
  <si>
    <t>1359</t>
  </si>
  <si>
    <t xml:space="preserve">صرفيات الموقع - غلامي </t>
  </si>
  <si>
    <t>صرفيات  الموقع</t>
  </si>
  <si>
    <t>دفعه دكتور نصير عن (عباس )</t>
  </si>
  <si>
    <t>سحب مبلغ - أبو مرتضى - وتم صرفه  الى أبو خالد (طابوق)</t>
  </si>
  <si>
    <t>536</t>
  </si>
  <si>
    <t>ZA3-85</t>
  </si>
  <si>
    <t>الموضوع</t>
  </si>
  <si>
    <t>المبلغ كتابة</t>
  </si>
  <si>
    <t>العدد</t>
  </si>
  <si>
    <t>1360</t>
  </si>
  <si>
    <t>1361</t>
  </si>
  <si>
    <t>1362</t>
  </si>
  <si>
    <t>1363</t>
  </si>
  <si>
    <t>دفع مبلغ</t>
  </si>
  <si>
    <t>تنكر ماء 7 وصل فقط</t>
  </si>
  <si>
    <t>جعفر</t>
  </si>
  <si>
    <t>تجديد اشتراك الانترنت</t>
  </si>
  <si>
    <t>أجور نقل غراض في المجمع</t>
  </si>
  <si>
    <t>ازهر</t>
  </si>
  <si>
    <t>1364</t>
  </si>
  <si>
    <t>مطعم ورد</t>
  </si>
  <si>
    <t>وجبة غداء (ضيوف أبو مرتضى)</t>
  </si>
  <si>
    <t>اقصاد غساله في الموقع</t>
  </si>
  <si>
    <t>محجر دار -93-92 -الدفعة الأولى</t>
  </si>
  <si>
    <t>1365</t>
  </si>
  <si>
    <t>1366</t>
  </si>
  <si>
    <t>سحب مبلغ - قادة النصر</t>
  </si>
  <si>
    <t>رقم الوحده</t>
  </si>
  <si>
    <t>التارييخ</t>
  </si>
  <si>
    <t>1367</t>
  </si>
  <si>
    <t>1368</t>
  </si>
  <si>
    <t>1369</t>
  </si>
  <si>
    <t>1370</t>
  </si>
  <si>
    <t>1371</t>
  </si>
  <si>
    <t>1372</t>
  </si>
  <si>
    <t>ادم</t>
  </si>
  <si>
    <t>متابعة الاستثمار</t>
  </si>
  <si>
    <t>راتب سجاد -سايق أبو مرتضى -الشهر الأول</t>
  </si>
  <si>
    <t>شراء يلكات</t>
  </si>
  <si>
    <t>محمد عباس</t>
  </si>
  <si>
    <t xml:space="preserve">تجهيز مواد – 40 بأية ومراية -دار 92-93 </t>
  </si>
  <si>
    <t xml:space="preserve">العداد </t>
  </si>
  <si>
    <t xml:space="preserve">ت </t>
  </si>
  <si>
    <t>1373</t>
  </si>
  <si>
    <t>1374</t>
  </si>
  <si>
    <t>1375</t>
  </si>
  <si>
    <t>1376</t>
  </si>
  <si>
    <t>1377</t>
  </si>
  <si>
    <t>1378</t>
  </si>
  <si>
    <t>امانات - بيتونات - -74-77-78-79</t>
  </si>
  <si>
    <t>محجر درج -93-92 -الدفعة الثانية</t>
  </si>
  <si>
    <t>منتظر كمال</t>
  </si>
  <si>
    <t>امانات</t>
  </si>
  <si>
    <t>أجور عمل كهرباء 12 يوم</t>
  </si>
  <si>
    <t>الشهر الثاني ل 2026</t>
  </si>
  <si>
    <t>8</t>
  </si>
  <si>
    <t>10</t>
  </si>
  <si>
    <t>11</t>
  </si>
  <si>
    <t>12</t>
  </si>
  <si>
    <t>1379</t>
  </si>
  <si>
    <t>راستي</t>
  </si>
  <si>
    <t>ديكور الشركة</t>
  </si>
  <si>
    <t>ت - صرف</t>
  </si>
  <si>
    <t>ت - تقرير</t>
  </si>
  <si>
    <t>ت -تسليم</t>
  </si>
  <si>
    <t>1380</t>
  </si>
  <si>
    <t>1381</t>
  </si>
  <si>
    <t>شتايكر -دار 90</t>
  </si>
  <si>
    <t xml:space="preserve">شتايكر </t>
  </si>
  <si>
    <t>535</t>
  </si>
  <si>
    <t>ZA5-112</t>
  </si>
  <si>
    <t>استلام مبلغ</t>
  </si>
  <si>
    <t>1382</t>
  </si>
  <si>
    <t>1383</t>
  </si>
  <si>
    <t>1384</t>
  </si>
  <si>
    <t xml:space="preserve">اكرم حبيب </t>
  </si>
  <si>
    <t>سحب مبلغ -قادة النصر</t>
  </si>
  <si>
    <t>1385</t>
  </si>
  <si>
    <t xml:space="preserve">مكتبة ورقه وقلم </t>
  </si>
  <si>
    <t>شراء ورق طباعة</t>
  </si>
  <si>
    <t>1386</t>
  </si>
  <si>
    <t>1387</t>
  </si>
  <si>
    <t>تجهيز مواد – 36 بأية ومراية</t>
  </si>
  <si>
    <t>1388</t>
  </si>
  <si>
    <t>1389</t>
  </si>
  <si>
    <t>1390</t>
  </si>
  <si>
    <t>1391</t>
  </si>
  <si>
    <t>دفع ايجار منزل</t>
  </si>
  <si>
    <t>موظفين الشركة</t>
  </si>
  <si>
    <t>موظفين الموقع</t>
  </si>
  <si>
    <t>رواتب الموظفين الموقع للشهر الاول</t>
  </si>
  <si>
    <t>رواتب الموظفين الشركة للشهر الاول</t>
  </si>
  <si>
    <t>1392</t>
  </si>
  <si>
    <t>زهير باسل حميد</t>
  </si>
  <si>
    <t>حسنين عدنان شنين</t>
  </si>
  <si>
    <t>537</t>
  </si>
  <si>
    <t>538</t>
  </si>
  <si>
    <t>B-13</t>
  </si>
  <si>
    <t>B-18</t>
  </si>
  <si>
    <t>539</t>
  </si>
  <si>
    <t>540</t>
  </si>
  <si>
    <t>خير الله عودة سويف</t>
  </si>
  <si>
    <t>ZA8-154</t>
  </si>
  <si>
    <t>ZA8-162</t>
  </si>
  <si>
    <t>1393</t>
  </si>
  <si>
    <t>1394</t>
  </si>
  <si>
    <t>سحب مبلغ - وتم صرفه - شراء سياره  (حسين ماجد)</t>
  </si>
  <si>
    <t>أيجار  بناية + أجور تحويل</t>
  </si>
  <si>
    <t>520</t>
  </si>
  <si>
    <t>521</t>
  </si>
  <si>
    <t>1395</t>
  </si>
  <si>
    <t>541</t>
  </si>
  <si>
    <t>542</t>
  </si>
  <si>
    <t>ZA7-151</t>
  </si>
  <si>
    <t>1396</t>
  </si>
  <si>
    <t>459-496-543</t>
  </si>
  <si>
    <t>543</t>
  </si>
  <si>
    <t>ZA5-118</t>
  </si>
  <si>
    <t>487-436</t>
  </si>
  <si>
    <t>1397</t>
  </si>
  <si>
    <t>1398</t>
  </si>
  <si>
    <t>1399</t>
  </si>
  <si>
    <t>1400</t>
  </si>
  <si>
    <t>1401</t>
  </si>
  <si>
    <t>شراء مادة + نقل</t>
  </si>
  <si>
    <t>1402</t>
  </si>
  <si>
    <t>1403</t>
  </si>
  <si>
    <t>شراء جهاز لفل</t>
  </si>
  <si>
    <t>سلفة - شتايكر -دار 90</t>
  </si>
  <si>
    <t>سلفة - صرفيات الموقع -الايرانيين</t>
  </si>
  <si>
    <t xml:space="preserve">مطعم </t>
  </si>
  <si>
    <t>وجبة عشاء (ضيوف أبو مرتضى)</t>
  </si>
  <si>
    <t>شراء مسطره قياس</t>
  </si>
  <si>
    <t>سيراميك قطع ازارة</t>
  </si>
  <si>
    <t>هيئة الاستثمار</t>
  </si>
  <si>
    <t>وصل هيئه الاستثمار</t>
  </si>
  <si>
    <t>1404</t>
  </si>
  <si>
    <t>544</t>
  </si>
  <si>
    <t>545</t>
  </si>
  <si>
    <t>اديب حسن حسون</t>
  </si>
  <si>
    <t>ZA3-63</t>
  </si>
  <si>
    <t>1405</t>
  </si>
  <si>
    <t>1406</t>
  </si>
  <si>
    <t>علي عمران</t>
  </si>
  <si>
    <t xml:space="preserve">رسوم رد الإنذار </t>
  </si>
  <si>
    <t>واصل نقدأ</t>
  </si>
  <si>
    <t>واصل نقدا أبو مرتضى</t>
  </si>
  <si>
    <t>1407</t>
  </si>
  <si>
    <t>سعد خميس</t>
  </si>
  <si>
    <t>اجور تنضيف شفل الموقع - شفل يوم و 6 س - سياره يوم ونص</t>
  </si>
  <si>
    <t xml:space="preserve">شراء مادة + كيس اسمنت ابيض </t>
  </si>
  <si>
    <t>فواصل سياراميك + كروه</t>
  </si>
  <si>
    <t>صرفيات الموقع (غلامي) من تاريخ 2/2/2026 الى تاريخ 17/2/2026</t>
  </si>
  <si>
    <t>صرفيات  الموقع - سيف</t>
  </si>
  <si>
    <t>1409</t>
  </si>
  <si>
    <t>546</t>
  </si>
  <si>
    <t>547</t>
  </si>
  <si>
    <t>ZA4-89</t>
  </si>
  <si>
    <t>ZA3-60</t>
  </si>
  <si>
    <t>1410</t>
  </si>
  <si>
    <t>1411</t>
  </si>
  <si>
    <t>1412</t>
  </si>
  <si>
    <t>حسن عطشان</t>
  </si>
  <si>
    <t>دفعة كونكريت</t>
  </si>
  <si>
    <t>1413</t>
  </si>
  <si>
    <t>1414</t>
  </si>
  <si>
    <t>أبو حيدر</t>
  </si>
  <si>
    <t>حيدر جابر - دكتور نصير</t>
  </si>
  <si>
    <t xml:space="preserve">تجهيز حديد </t>
  </si>
  <si>
    <t>1415</t>
  </si>
  <si>
    <t>دفعة ثانية عن دكتور نصير</t>
  </si>
  <si>
    <t>1416</t>
  </si>
  <si>
    <t>علاء دليل</t>
  </si>
  <si>
    <t>دلالية منزل - ZA3-64</t>
  </si>
  <si>
    <t>1417</t>
  </si>
  <si>
    <t>تجهيز حصو (سيد حسن)</t>
  </si>
  <si>
    <t>عباس احمد عباس</t>
  </si>
  <si>
    <t>1418</t>
  </si>
  <si>
    <t>1419</t>
  </si>
  <si>
    <t>اخوان غلامي</t>
  </si>
  <si>
    <t>سلفة - اخوان غلامي</t>
  </si>
  <si>
    <t>صرفيات الموقع - تكمله وصل 1409</t>
  </si>
  <si>
    <t>1420</t>
  </si>
  <si>
    <t>امانات - بناء</t>
  </si>
  <si>
    <t>1421</t>
  </si>
  <si>
    <t>1422</t>
  </si>
  <si>
    <t>1423</t>
  </si>
  <si>
    <t>خلفة بناء 3 وصولات فقط</t>
  </si>
  <si>
    <t>سحب مبلغ - فقط</t>
  </si>
  <si>
    <t>عدي العتابي (سيد حسن - كونكريت)</t>
  </si>
  <si>
    <t>548</t>
  </si>
  <si>
    <t>549</t>
  </si>
  <si>
    <t xml:space="preserve">عباس جواد كاظم </t>
  </si>
  <si>
    <t>خلفة بناء  4 وصولات فقط</t>
  </si>
  <si>
    <t>1424</t>
  </si>
  <si>
    <t>1425</t>
  </si>
  <si>
    <t>1426</t>
  </si>
  <si>
    <t>1427</t>
  </si>
  <si>
    <t>اعمال كهرباء</t>
  </si>
  <si>
    <t>سلفة - اخوان غلامي للوحده - 54</t>
  </si>
  <si>
    <t>550</t>
  </si>
  <si>
    <t>ZA5-126</t>
  </si>
  <si>
    <t>1428</t>
  </si>
  <si>
    <t>1429</t>
  </si>
  <si>
    <t>1430</t>
  </si>
  <si>
    <t>1431</t>
  </si>
  <si>
    <t xml:space="preserve">نجارة وحدادة البيتونات </t>
  </si>
  <si>
    <t>نجارة وحدادة - دار 60 - الدفعة الأولى</t>
  </si>
  <si>
    <t>551</t>
  </si>
  <si>
    <t>1432</t>
  </si>
  <si>
    <t xml:space="preserve">صرفيات موقع - قائمة مشتريات </t>
  </si>
  <si>
    <t>بركات الامام موسى الكاظم</t>
  </si>
  <si>
    <t>شتايكر دار 88-89</t>
  </si>
  <si>
    <t>1433</t>
  </si>
  <si>
    <t>1434</t>
  </si>
  <si>
    <t>سلفة - دكتور نصير</t>
  </si>
  <si>
    <t>1435</t>
  </si>
  <si>
    <t>وزارة المالية</t>
  </si>
  <si>
    <t>تعاقد مع وزاره المالية - الدفعة الثانية</t>
  </si>
  <si>
    <t>1436</t>
  </si>
  <si>
    <t>خلفة بناء  3 وصولات فقط</t>
  </si>
  <si>
    <t>راتب مكتب ادم  -الشهر الأول</t>
  </si>
  <si>
    <t>المبلغ 20 مليون 15 اخلاء و5 دلاليه صرف في (1417) - ZA3-63</t>
  </si>
  <si>
    <t>440-552</t>
  </si>
  <si>
    <t xml:space="preserve">محمد سامي </t>
  </si>
  <si>
    <t>أبو حيدر - الباخ</t>
  </si>
  <si>
    <t>قائمة مشتريات - صحيات - معرض زقوره</t>
  </si>
  <si>
    <t>1437</t>
  </si>
  <si>
    <t>552</t>
  </si>
  <si>
    <t>ZA5-115</t>
  </si>
  <si>
    <t>1438</t>
  </si>
  <si>
    <t>تعاقد مع وزاره المالية - الدفعة الثالثة</t>
  </si>
  <si>
    <t>1439</t>
  </si>
  <si>
    <t>مستلم</t>
  </si>
  <si>
    <t xml:space="preserve">أجور نقل وقطع (ازاره) - م.جوهره </t>
  </si>
  <si>
    <t>1440</t>
  </si>
  <si>
    <t xml:space="preserve">   </t>
  </si>
  <si>
    <t>553</t>
  </si>
  <si>
    <t xml:space="preserve">مرتضى محسن مزيعل </t>
  </si>
  <si>
    <t>ZA7-145</t>
  </si>
  <si>
    <t>1441</t>
  </si>
  <si>
    <t>تجهيز شياش</t>
  </si>
  <si>
    <t>554</t>
  </si>
  <si>
    <t>سعود عبد الرضا</t>
  </si>
  <si>
    <t>ZA8-152</t>
  </si>
  <si>
    <t>510
557</t>
  </si>
  <si>
    <t>30/12/2025
28/02/2026</t>
  </si>
  <si>
    <t>144,000,000
110,000,000</t>
  </si>
  <si>
    <t>511
556</t>
  </si>
  <si>
    <t>احمد غياض عبدالله
رحيم هاشم عبدالله</t>
  </si>
  <si>
    <t>رحيم هاشم عبدالله</t>
  </si>
  <si>
    <t>اياد هاشم عبدالله</t>
  </si>
  <si>
    <t>555</t>
  </si>
  <si>
    <t>556</t>
  </si>
  <si>
    <t>557</t>
  </si>
  <si>
    <t>ZB-12</t>
  </si>
  <si>
    <t>ZB-14</t>
  </si>
  <si>
    <t>ZB-15</t>
  </si>
  <si>
    <t>احمد غياض عبدالله 
 اياد هاشم عبدالله</t>
  </si>
  <si>
    <t>1442</t>
  </si>
  <si>
    <t>1443</t>
  </si>
  <si>
    <t>خلفة بناء  3 وصولات فقط دار 128</t>
  </si>
  <si>
    <t>امانات  ستاير وبيتونات</t>
  </si>
  <si>
    <t>اعمال - البيتونات 77-78</t>
  </si>
  <si>
    <t>1444</t>
  </si>
  <si>
    <t>1445</t>
  </si>
  <si>
    <t>1446</t>
  </si>
  <si>
    <t>كاتب عدل</t>
  </si>
  <si>
    <t>مكتب استثماري</t>
  </si>
  <si>
    <t>كاتب عدل - عقارات الدوله</t>
  </si>
  <si>
    <t>مكنب استثماري - عقارات الدوله</t>
  </si>
  <si>
    <t>1447</t>
  </si>
  <si>
    <t>1448</t>
  </si>
  <si>
    <t>تجهيز أبواب خشب دار -92-93 الدفعة الاخيره</t>
  </si>
  <si>
    <t>أنور نعمة شبيب</t>
  </si>
  <si>
    <t>1449</t>
  </si>
  <si>
    <t xml:space="preserve">تجهيز أبواب حديد دار 63 </t>
  </si>
  <si>
    <t>1450</t>
  </si>
  <si>
    <t>516-558</t>
  </si>
  <si>
    <t>سحب مبلغ - وصرفه في قائمة مشتريات- رقمها 2-1209</t>
  </si>
  <si>
    <t>تجهيز باب سلايت المنيوم -2 وشبابيك -4 وباب صحيات -2</t>
  </si>
  <si>
    <t>558</t>
  </si>
  <si>
    <t>1451</t>
  </si>
  <si>
    <t>1452</t>
  </si>
  <si>
    <t>1453</t>
  </si>
  <si>
    <t>1454</t>
  </si>
  <si>
    <t>1455</t>
  </si>
  <si>
    <t>اعمال بيتونات دار 79-80</t>
  </si>
  <si>
    <t>494-559</t>
  </si>
  <si>
    <t>ZA3-84</t>
  </si>
  <si>
    <t>559</t>
  </si>
  <si>
    <t>233-560</t>
  </si>
  <si>
    <t>515-551-561</t>
  </si>
  <si>
    <t>1456</t>
  </si>
  <si>
    <t>560</t>
  </si>
  <si>
    <t>561</t>
  </si>
  <si>
    <t>1457</t>
  </si>
  <si>
    <t>1458</t>
  </si>
  <si>
    <t>تجهيز مجمع الجوهرة اسمنت +رمل -دار 85</t>
  </si>
  <si>
    <t xml:space="preserve">سحب مبلغ - أبو مرتضى -3 طن  سيد احمد  الياسري </t>
  </si>
  <si>
    <t>1459</t>
  </si>
  <si>
    <t>صرفيات الموقع - سيف عباس -دار 63</t>
  </si>
  <si>
    <t>سجاد عبدالعزيز</t>
  </si>
  <si>
    <t>مندوب - راتب موظف في الاستثمار</t>
  </si>
  <si>
    <t>562</t>
  </si>
  <si>
    <t>1460</t>
  </si>
  <si>
    <t>1461</t>
  </si>
  <si>
    <t>سحب مبلغ - صرف الى أبو خالد (طابوق)</t>
  </si>
  <si>
    <t>565</t>
  </si>
  <si>
    <t>566</t>
  </si>
  <si>
    <t>567</t>
  </si>
  <si>
    <t>ZA3-87</t>
  </si>
  <si>
    <t>ZA3-86</t>
  </si>
  <si>
    <t>ZA7-141</t>
  </si>
  <si>
    <t>م . رصيد القاصة</t>
  </si>
  <si>
    <t xml:space="preserve">الصرفيات </t>
  </si>
  <si>
    <t>قبض من أبو مرتضى</t>
  </si>
  <si>
    <t>سناء - محمد جواد</t>
  </si>
  <si>
    <t>1463</t>
  </si>
  <si>
    <t>1464</t>
  </si>
  <si>
    <t>1462</t>
  </si>
  <si>
    <t>1465</t>
  </si>
  <si>
    <t>1466</t>
  </si>
  <si>
    <t>1467</t>
  </si>
  <si>
    <t>سلفة - تجهيز ماء</t>
  </si>
  <si>
    <t>شتايكر - دار 63</t>
  </si>
  <si>
    <t>445-504-568</t>
  </si>
  <si>
    <t>568</t>
  </si>
  <si>
    <t>ZA3-78</t>
  </si>
  <si>
    <t>1468</t>
  </si>
  <si>
    <t>اقصاد إطارات سيارة - الدفعة الثانية</t>
  </si>
  <si>
    <t>1469</t>
  </si>
  <si>
    <t>مصاريف شركة</t>
  </si>
  <si>
    <t>569</t>
  </si>
  <si>
    <t>1470</t>
  </si>
  <si>
    <t xml:space="preserve">علاء الدين غازي </t>
  </si>
  <si>
    <t>اكرم حبيب</t>
  </si>
  <si>
    <t xml:space="preserve">شراء وصولات </t>
  </si>
  <si>
    <t>قبض مبلغ فقط</t>
  </si>
  <si>
    <t>1471</t>
  </si>
  <si>
    <t>سحب مبلغ - قادة النصر(راتب منتظر)</t>
  </si>
  <si>
    <t>1472</t>
  </si>
  <si>
    <t>1473</t>
  </si>
  <si>
    <t>1474</t>
  </si>
  <si>
    <t>1475</t>
  </si>
  <si>
    <t>اعلام هيئة الاستثمار</t>
  </si>
  <si>
    <t>تجهيز كهرباء -دار 63</t>
  </si>
  <si>
    <t>اعمال كهرباء -12 يوم</t>
  </si>
  <si>
    <t>571</t>
  </si>
  <si>
    <t>1476</t>
  </si>
  <si>
    <t>ناهدة جاسم عبيد</t>
  </si>
  <si>
    <t>ZA4-93</t>
  </si>
  <si>
    <t>570</t>
  </si>
  <si>
    <t>572</t>
  </si>
  <si>
    <t xml:space="preserve">اعمال بناء -ستارة وبيتونه للوحدة 125 </t>
  </si>
  <si>
    <t>1477</t>
  </si>
  <si>
    <t>1478</t>
  </si>
  <si>
    <t>1479</t>
  </si>
  <si>
    <t>مجمع الثورة</t>
  </si>
  <si>
    <t xml:space="preserve">صرفيات الموقع </t>
  </si>
  <si>
    <t>اقصاد غسالة -الدفعة الثالثة</t>
  </si>
  <si>
    <t>سلفه 90 الف</t>
  </si>
  <si>
    <t>1480</t>
  </si>
  <si>
    <t>شتايكر</t>
  </si>
  <si>
    <t>1481</t>
  </si>
  <si>
    <t>1482</t>
  </si>
  <si>
    <t>تجهيز حدبيد</t>
  </si>
  <si>
    <t xml:space="preserve">عباس احمد </t>
  </si>
  <si>
    <t>تجهيز حديد - عباس احمد</t>
  </si>
  <si>
    <t>1483</t>
  </si>
  <si>
    <t xml:space="preserve">علي عمران </t>
  </si>
  <si>
    <t>توجية انذار</t>
  </si>
  <si>
    <t>1484</t>
  </si>
  <si>
    <t>رواتب م.شركة</t>
  </si>
  <si>
    <t>رواتب م.الموقع</t>
  </si>
  <si>
    <t>1485</t>
  </si>
  <si>
    <t>1486</t>
  </si>
  <si>
    <t>رواتب موظفين الشركة - الشهر الثاني</t>
  </si>
  <si>
    <t>رواتب موظفين الموقع - الشهر الثاني</t>
  </si>
  <si>
    <t>573</t>
  </si>
  <si>
    <t>574</t>
  </si>
  <si>
    <t>575</t>
  </si>
  <si>
    <t>جواد عبدالله جفيت</t>
  </si>
  <si>
    <t>1487</t>
  </si>
  <si>
    <t>576</t>
  </si>
  <si>
    <t>577</t>
  </si>
  <si>
    <t>578</t>
  </si>
  <si>
    <t>1488</t>
  </si>
  <si>
    <t>1489</t>
  </si>
  <si>
    <t>سيد حسن</t>
  </si>
  <si>
    <t>تنكر ماء 20 وصل فقط</t>
  </si>
  <si>
    <t>تجهيز كونكريت</t>
  </si>
  <si>
    <t>1490</t>
  </si>
  <si>
    <t>1491</t>
  </si>
  <si>
    <t>1492</t>
  </si>
  <si>
    <t xml:space="preserve">نجارة وتسليح </t>
  </si>
  <si>
    <t>1493</t>
  </si>
  <si>
    <t>نجارة وتسليح دار 64</t>
  </si>
  <si>
    <t>1494</t>
  </si>
  <si>
    <t>شتايكر دار 63</t>
  </si>
  <si>
    <t>1495</t>
  </si>
  <si>
    <t>1496</t>
  </si>
  <si>
    <t>1497</t>
  </si>
  <si>
    <t xml:space="preserve">محمد عباس </t>
  </si>
  <si>
    <t>شراء باية + مراية</t>
  </si>
  <si>
    <t>579</t>
  </si>
  <si>
    <t>580</t>
  </si>
  <si>
    <t>محمد جاسم محمد</t>
  </si>
  <si>
    <t>ZA4-97</t>
  </si>
  <si>
    <t>ZA4-98</t>
  </si>
  <si>
    <t>1498</t>
  </si>
  <si>
    <t>ايجار منزل - د.نصير</t>
  </si>
  <si>
    <t>1499</t>
  </si>
  <si>
    <t>1500</t>
  </si>
  <si>
    <t>مهدي</t>
  </si>
  <si>
    <t>تجهيز دار 63 -وزره -نقل مع أجور نقل</t>
  </si>
  <si>
    <t>1501</t>
  </si>
  <si>
    <t>1502</t>
  </si>
  <si>
    <t>581</t>
  </si>
  <si>
    <t>1503</t>
  </si>
  <si>
    <t>سلفة - خلفة سيراميك</t>
  </si>
  <si>
    <t>581-582</t>
  </si>
  <si>
    <t>582</t>
  </si>
  <si>
    <t>1504</t>
  </si>
  <si>
    <t>1505</t>
  </si>
  <si>
    <t>1506</t>
  </si>
  <si>
    <t>1507</t>
  </si>
  <si>
    <t>1508</t>
  </si>
  <si>
    <t>أجور لباخ دار 63</t>
  </si>
  <si>
    <t>تنظيف دار 63مع تفليش المناور</t>
  </si>
  <si>
    <t>حفر المجاري - تسليك المجاري (كراج)</t>
  </si>
  <si>
    <t>صب الكراج</t>
  </si>
  <si>
    <t>1509</t>
  </si>
  <si>
    <t>1510</t>
  </si>
  <si>
    <t>تصليح سيارة</t>
  </si>
  <si>
    <t xml:space="preserve">عباس احمد عباس </t>
  </si>
  <si>
    <t>583</t>
  </si>
  <si>
    <t>ZA7-148</t>
  </si>
  <si>
    <t>1511</t>
  </si>
  <si>
    <t>سحب مبلغ  قاده نصير (راتب منتضر)</t>
  </si>
  <si>
    <t>1512</t>
  </si>
  <si>
    <t xml:space="preserve">شراء مواد </t>
  </si>
  <si>
    <t>1513</t>
  </si>
  <si>
    <t>1514</t>
  </si>
  <si>
    <t>1515</t>
  </si>
  <si>
    <t>1516</t>
  </si>
  <si>
    <t>نجارة وتسليح - دار 75</t>
  </si>
  <si>
    <t>نجارة وتسليح - دار 76</t>
  </si>
  <si>
    <t xml:space="preserve">تكيين رمل - 10 طن اسمنت </t>
  </si>
  <si>
    <t>ZA5-119</t>
  </si>
  <si>
    <t>584</t>
  </si>
  <si>
    <t>1517</t>
  </si>
  <si>
    <t>قادة النصر</t>
  </si>
  <si>
    <t>سحب مبلغ - وتسليمة الى كاظم شهد (أبو سالم)</t>
  </si>
  <si>
    <t>1518</t>
  </si>
  <si>
    <t>رصيد مبايل الشركة</t>
  </si>
  <si>
    <t>1519</t>
  </si>
  <si>
    <t>1520</t>
  </si>
  <si>
    <t>عمال التنظيف</t>
  </si>
  <si>
    <t>عمال</t>
  </si>
  <si>
    <t>أجور نقل فوم</t>
  </si>
  <si>
    <t>تنظيف دار 64</t>
  </si>
  <si>
    <t>قائمة شراء مواد - رقم القائمة 81242</t>
  </si>
  <si>
    <t>1521</t>
  </si>
  <si>
    <t>1522</t>
  </si>
  <si>
    <t>1523</t>
  </si>
  <si>
    <t>1524</t>
  </si>
  <si>
    <t>1525</t>
  </si>
  <si>
    <t>كشف هيئة الاستثمار</t>
  </si>
  <si>
    <t>تنكر ماء 8 وصل فقط</t>
  </si>
  <si>
    <t>\</t>
  </si>
  <si>
    <t>1526</t>
  </si>
  <si>
    <t>1527</t>
  </si>
  <si>
    <t>586</t>
  </si>
  <si>
    <t>587</t>
  </si>
  <si>
    <t>عباس جواد كاظم</t>
  </si>
  <si>
    <t>1528</t>
  </si>
  <si>
    <t>1529</t>
  </si>
  <si>
    <t>أجور عمل في الجوهرة</t>
  </si>
  <si>
    <t>عاشور</t>
  </si>
  <si>
    <t>1530</t>
  </si>
  <si>
    <t>1531</t>
  </si>
  <si>
    <t>محمد جواد - سناء</t>
  </si>
  <si>
    <t>1533</t>
  </si>
  <si>
    <t>1534</t>
  </si>
  <si>
    <t>1535</t>
  </si>
  <si>
    <t>محمع الثورة</t>
  </si>
  <si>
    <t>اقصاد غسالة - الدفعة الرابعة</t>
  </si>
  <si>
    <t>اقصاد سبلت- الدفعة الاولى</t>
  </si>
  <si>
    <t>1536</t>
  </si>
  <si>
    <t>1537</t>
  </si>
  <si>
    <t>1539</t>
  </si>
  <si>
    <t>1540</t>
  </si>
  <si>
    <t>1541</t>
  </si>
  <si>
    <t>علي حسين ناجي</t>
  </si>
  <si>
    <t>أجور عمل سيراميك - دار 63</t>
  </si>
  <si>
    <t>صب ارضيات - دار 64</t>
  </si>
  <si>
    <t>1542</t>
  </si>
  <si>
    <t>عمال نقل</t>
  </si>
  <si>
    <t>أجور نقل من م.الجوهرة الى ديوان المحافظة</t>
  </si>
  <si>
    <t>أجور عمل 3 عمال تحميل وتفريغ</t>
  </si>
  <si>
    <t>1543</t>
  </si>
  <si>
    <t>مجمع لارسا</t>
  </si>
  <si>
    <t>مجمع قاده النصر</t>
  </si>
  <si>
    <t>سحب مبلغ - 250 الف حادلة مطاطية - 250 الف شفل</t>
  </si>
  <si>
    <t>585</t>
  </si>
  <si>
    <t>ZA4-99</t>
  </si>
  <si>
    <t>نجارة وتسليح -دار 160</t>
  </si>
  <si>
    <t>1544</t>
  </si>
  <si>
    <t>1545</t>
  </si>
  <si>
    <t>نجارة وتسليح دار 160</t>
  </si>
  <si>
    <t>نجاره وتسليح بيتونات</t>
  </si>
  <si>
    <t>1546</t>
  </si>
  <si>
    <t xml:space="preserve">ابومرتضى -ناظم ريسان </t>
  </si>
  <si>
    <t>1547</t>
  </si>
  <si>
    <t>سحب مبلغ  أبو مرتضى تم تسليمة الى ناظم ريسان</t>
  </si>
  <si>
    <t>588</t>
  </si>
  <si>
    <t>ZA3-81</t>
  </si>
  <si>
    <t>سلفة - صباغ بسام - دار 63</t>
  </si>
  <si>
    <t>تجهيز الالمنيوم</t>
  </si>
  <si>
    <t>حجي بسام</t>
  </si>
  <si>
    <t>589</t>
  </si>
  <si>
    <t>صفاء عبدالحسن</t>
  </si>
  <si>
    <t>وصل لارسا تحول لهنا</t>
  </si>
  <si>
    <t>مشتاق - دائرة كهرباء</t>
  </si>
  <si>
    <t>أجور كهرباء م.الجوهرة</t>
  </si>
  <si>
    <t>نجاره وتسليح</t>
  </si>
  <si>
    <t>1548</t>
  </si>
  <si>
    <t>1549</t>
  </si>
  <si>
    <t>1550</t>
  </si>
  <si>
    <t>سحب مبلغ  - أجور كهرباء م.لارسا -حسن شريف</t>
  </si>
  <si>
    <t>1551</t>
  </si>
  <si>
    <t>1552</t>
  </si>
  <si>
    <t>اقصاد إطارات سيارة - الدفعة الثالثة</t>
  </si>
  <si>
    <t>سلفة - تصليح سيارة</t>
  </si>
  <si>
    <t>590</t>
  </si>
  <si>
    <t>ZA3-83</t>
  </si>
  <si>
    <t>1553</t>
  </si>
  <si>
    <t>احمد محسن</t>
  </si>
  <si>
    <t>خلفة سيراميك - دار 63</t>
  </si>
  <si>
    <t>1554</t>
  </si>
  <si>
    <t>1555</t>
  </si>
  <si>
    <t>رواتب موظفين الشركة - الشهر الثالث</t>
  </si>
  <si>
    <t>رواتب موظفين الموقع - الشهر الثالث</t>
  </si>
  <si>
    <t>1556</t>
  </si>
  <si>
    <t>نجارة وتسليح</t>
  </si>
  <si>
    <t>1557</t>
  </si>
  <si>
    <t>عماد عناد</t>
  </si>
  <si>
    <t>تجهيز شتايكر دار 64-65-66</t>
  </si>
  <si>
    <t>1559</t>
  </si>
  <si>
    <t>1560</t>
  </si>
  <si>
    <t>1561</t>
  </si>
  <si>
    <t>1562</t>
  </si>
  <si>
    <t>1563</t>
  </si>
  <si>
    <t>1564</t>
  </si>
  <si>
    <t>صباغ دار 63</t>
  </si>
  <si>
    <t>قلع شتايكر وتنظيف الكراج -دار 64</t>
  </si>
  <si>
    <t>قلع شتايكر وتنظيف الكراج -دار 65</t>
  </si>
  <si>
    <t>تنظيف دار 65</t>
  </si>
  <si>
    <t>تفليش الدرج ونقل الأنقاض</t>
  </si>
  <si>
    <t>1565</t>
  </si>
  <si>
    <t>1566</t>
  </si>
  <si>
    <t>1567</t>
  </si>
  <si>
    <t>1568</t>
  </si>
  <si>
    <t>1569</t>
  </si>
  <si>
    <t>امانات بيتونات - نجارة وتسليح</t>
  </si>
  <si>
    <t xml:space="preserve">تجهيز حصو </t>
  </si>
  <si>
    <t>1570</t>
  </si>
  <si>
    <t>1571</t>
  </si>
  <si>
    <t>أجور اللباخ دار 63</t>
  </si>
  <si>
    <t>شتايكر -سحب مواد الى سيد احمد (حشد)</t>
  </si>
  <si>
    <t>591</t>
  </si>
  <si>
    <t>ZA4-95</t>
  </si>
  <si>
    <t xml:space="preserve"> جابر غياض - دكتور نصير</t>
  </si>
  <si>
    <t>1572</t>
  </si>
  <si>
    <t>1573</t>
  </si>
  <si>
    <t>نجارة وتسليح - امانات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</si>
  <si>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</si>
  <si>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</si>
  <si>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</si>
  <si>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</si>
  <si>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</si>
  <si>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</si>
  <si>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</si>
  <si>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</si>
  <si>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</si>
  <si>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</si>
  <si>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 xml:space="preserve">محجر درج - دار 63 </t>
  </si>
  <si>
    <t>593</t>
  </si>
  <si>
    <t>ZA3-82</t>
  </si>
  <si>
    <t>أبواب BBC - دار 63</t>
  </si>
  <si>
    <t>شباك سلايت أربعة متر جام - دار 63</t>
  </si>
  <si>
    <t>شبابيك BBC - دار 63</t>
  </si>
  <si>
    <t>أبواب خشب  - 7 فردات أبواب دار 63</t>
  </si>
  <si>
    <t>تحويل برج - ايجار الية ونقل كرين مع سطحية</t>
  </si>
  <si>
    <t>أجور الحداد فتح ونقل - الدفعة الأولى</t>
  </si>
  <si>
    <t>سيد أنور</t>
  </si>
  <si>
    <t>أجور شفل</t>
  </si>
  <si>
    <t>مالك</t>
  </si>
  <si>
    <t>ايجار JCB أليات</t>
  </si>
  <si>
    <t xml:space="preserve">علي فاضل </t>
  </si>
  <si>
    <t>1584</t>
  </si>
  <si>
    <t>تنظيف - دار 63</t>
  </si>
  <si>
    <t xml:space="preserve">حسين علي </t>
  </si>
  <si>
    <t>1585</t>
  </si>
  <si>
    <t>خلفة بناء - دار 125 3 وصولات فقط</t>
  </si>
  <si>
    <t>خلفة بناء -دار 145 3 وصولات فقط</t>
  </si>
  <si>
    <t>أجور عمل كهرباء -ربط خط رئيسي</t>
  </si>
  <si>
    <t>أبو علي</t>
  </si>
  <si>
    <t xml:space="preserve">بركات الامام موسى </t>
  </si>
  <si>
    <t>قائمة شراء مواد - رقم القائمة 110-3361</t>
  </si>
  <si>
    <t>1586</t>
  </si>
  <si>
    <t>1587</t>
  </si>
  <si>
    <t>سحب مبالغ قاده النصر ولارسا</t>
  </si>
  <si>
    <t>1588</t>
  </si>
  <si>
    <t>1589</t>
  </si>
  <si>
    <t>1590</t>
  </si>
  <si>
    <t>1591</t>
  </si>
  <si>
    <t>1592</t>
  </si>
  <si>
    <t>1593</t>
  </si>
  <si>
    <t>1594</t>
  </si>
  <si>
    <t>مكتب الاستشاري</t>
  </si>
  <si>
    <t>احمد برزان طخم</t>
  </si>
  <si>
    <t>أيوب عمران</t>
  </si>
  <si>
    <t>1595</t>
  </si>
  <si>
    <t>1596</t>
  </si>
  <si>
    <t>1597</t>
  </si>
  <si>
    <t>1598</t>
  </si>
  <si>
    <t>1599</t>
  </si>
  <si>
    <t>1600</t>
  </si>
  <si>
    <t>عبدالعزيز</t>
  </si>
  <si>
    <t>م.سيف ذو الفقار</t>
  </si>
  <si>
    <t>عدنان عبد الحسن</t>
  </si>
  <si>
    <t>رواتب الموظفين للشهر الـــــ  4 -شركة</t>
  </si>
  <si>
    <t>رواتب الموظفين للشهر الـــــ  4 -الموقع</t>
  </si>
  <si>
    <t>1601</t>
  </si>
  <si>
    <t>1602</t>
  </si>
  <si>
    <t>1603</t>
  </si>
  <si>
    <t>1604</t>
  </si>
  <si>
    <t>1605</t>
  </si>
  <si>
    <t>1606</t>
  </si>
  <si>
    <t>اكرامية جايجي مدير الاستثمار</t>
  </si>
  <si>
    <t>جايجي المدير</t>
  </si>
  <si>
    <t>جايجي النائب</t>
  </si>
  <si>
    <t>اكرامية جايجي نائب مدير الاستثمار</t>
  </si>
  <si>
    <t>مكافأت الكادر الفني في الموقع</t>
  </si>
  <si>
    <t>الكادر الفني</t>
  </si>
  <si>
    <t xml:space="preserve">سيف عباس </t>
  </si>
  <si>
    <t>عمال صيانه</t>
  </si>
  <si>
    <t>اعمال صيانة المجاري - دار 63</t>
  </si>
  <si>
    <t>اعمال ماء - انهاء فتنك البيوت</t>
  </si>
  <si>
    <t>1607</t>
  </si>
  <si>
    <t>1608</t>
  </si>
  <si>
    <t>1609</t>
  </si>
  <si>
    <t>1610</t>
  </si>
  <si>
    <t>اقصاد سبلت- الدفعه ثانيه وغساله - اخيره</t>
  </si>
  <si>
    <t>1611</t>
  </si>
  <si>
    <t>1612</t>
  </si>
  <si>
    <t>1613</t>
  </si>
  <si>
    <t>1614</t>
  </si>
  <si>
    <t>1615</t>
  </si>
  <si>
    <t>1616</t>
  </si>
  <si>
    <t>1617</t>
  </si>
  <si>
    <t>1618</t>
  </si>
  <si>
    <t>سجاد عبد العزيز</t>
  </si>
  <si>
    <t>منتظر محمد</t>
  </si>
  <si>
    <t>سيف مهند</t>
  </si>
  <si>
    <t xml:space="preserve">هاتف حسب </t>
  </si>
  <si>
    <t xml:space="preserve">علي حسين ناجي </t>
  </si>
  <si>
    <t>547-569</t>
  </si>
  <si>
    <t>594</t>
  </si>
  <si>
    <t>595</t>
  </si>
  <si>
    <t>ZA3-74</t>
  </si>
  <si>
    <t>ZA3-75</t>
  </si>
  <si>
    <t>قبض مبلغ - صرف الى هاتف في وصل -1616</t>
  </si>
  <si>
    <t>1622</t>
  </si>
  <si>
    <t>1623</t>
  </si>
  <si>
    <t xml:space="preserve">ارجاع مبلغ الوحدة -   ZA4-98 </t>
  </si>
  <si>
    <t>قبض مبلغ - صرف تكملة في وصل -1622</t>
  </si>
  <si>
    <t>1624</t>
  </si>
  <si>
    <t>سحب مبلغ - وحده 98 -يعود المبلغ يوم الثلاثاء</t>
  </si>
  <si>
    <t>1621</t>
  </si>
  <si>
    <t>قبض مبلغ - وصرف في وصل 1569</t>
  </si>
  <si>
    <t>1625</t>
  </si>
  <si>
    <t>1626</t>
  </si>
  <si>
    <t>1627</t>
  </si>
  <si>
    <t>تجهيز شتايكر</t>
  </si>
  <si>
    <t>تنكر ماء 12 وصل فقط</t>
  </si>
  <si>
    <t>1628</t>
  </si>
  <si>
    <t>1629</t>
  </si>
  <si>
    <t>1630</t>
  </si>
  <si>
    <t>1631</t>
  </si>
  <si>
    <t>1632</t>
  </si>
  <si>
    <t>1633</t>
  </si>
  <si>
    <t>1634</t>
  </si>
  <si>
    <t xml:space="preserve">رمل خشن </t>
  </si>
  <si>
    <t>رمل ناعم</t>
  </si>
  <si>
    <t>قائمة مشتريات - مواد خارجه من مخزن</t>
  </si>
  <si>
    <t>1635</t>
  </si>
  <si>
    <t>غلامي -د. نصير</t>
  </si>
  <si>
    <t>شراء مادة - كيس اسمنت فواصل سيراميك كروة -غبرة</t>
  </si>
  <si>
    <t>مادة لاسقة عدد ة3- مفرغات -دريل خلط</t>
  </si>
  <si>
    <t>1636</t>
  </si>
  <si>
    <t>سجاد أنور</t>
  </si>
  <si>
    <t>اعمال اللحام وصبابة برج المعسكر</t>
  </si>
  <si>
    <t>الشهر الثالث 2026</t>
  </si>
  <si>
    <t>الشهر الرابع 2026</t>
  </si>
  <si>
    <t>إيرادات -متبقي من شهر الأول</t>
  </si>
  <si>
    <t>صفر</t>
  </si>
  <si>
    <t>الشهر الاول 2026</t>
  </si>
  <si>
    <t>الشهر الثاني 2026</t>
  </si>
  <si>
    <t>فرق</t>
  </si>
  <si>
    <t>سحب مبلغ  الدفعات أبو مرتضى</t>
  </si>
  <si>
    <t>1637</t>
  </si>
  <si>
    <t>1638</t>
  </si>
  <si>
    <t>1639</t>
  </si>
  <si>
    <t>1640</t>
  </si>
  <si>
    <t xml:space="preserve"> صرفيات موقع- قوائم مشتريات</t>
  </si>
  <si>
    <t>596</t>
  </si>
  <si>
    <t>اليوم</t>
  </si>
  <si>
    <t>م. أولى</t>
  </si>
  <si>
    <t>كتاب ملاحظات للشهر الــــ 5</t>
  </si>
  <si>
    <t>1641</t>
  </si>
  <si>
    <t>1642</t>
  </si>
  <si>
    <t>1643</t>
  </si>
  <si>
    <t>علي منصور كريم</t>
  </si>
  <si>
    <t>حفر نزالات كهرباء دار 113,112,111,110.109</t>
  </si>
  <si>
    <t>أجور عمل كهرباء -10 يوم</t>
  </si>
  <si>
    <t>شركة ماس</t>
  </si>
  <si>
    <t>قائمة فواتير – مواد بلاستيكية</t>
  </si>
  <si>
    <t>قائمة شراء مواد بلاستيكية</t>
  </si>
  <si>
    <t>989</t>
  </si>
  <si>
    <t>تحهيز مواد بلاستيك</t>
  </si>
  <si>
    <t>1165</t>
  </si>
  <si>
    <t>قائمة شراء مواد</t>
  </si>
  <si>
    <t>تجهبز مواد ماء - 22 وحدة</t>
  </si>
  <si>
    <t>1257</t>
  </si>
  <si>
    <t>طلال رمضان شكر</t>
  </si>
  <si>
    <t>شركة ماس - طلال رمضان صكر</t>
  </si>
  <si>
    <t>562-589-597</t>
  </si>
  <si>
    <t>597</t>
  </si>
  <si>
    <t>1645</t>
  </si>
  <si>
    <t>الدولة</t>
  </si>
  <si>
    <t>أجور تسليم موقع - عقارات الدولة زراعة ذي قار</t>
  </si>
  <si>
    <t>ZA8-160</t>
  </si>
  <si>
    <t>1646</t>
  </si>
  <si>
    <t>598</t>
  </si>
  <si>
    <t>وسام - مولد</t>
  </si>
  <si>
    <t>1647</t>
  </si>
  <si>
    <t>1648</t>
  </si>
  <si>
    <t>599</t>
  </si>
  <si>
    <t>ZA3-76</t>
  </si>
  <si>
    <t>1649</t>
  </si>
  <si>
    <t>شركة المشكاة</t>
  </si>
  <si>
    <t>شراء UPS عدد 5</t>
  </si>
  <si>
    <t>رياض نوري عبدان</t>
  </si>
  <si>
    <t>تجهيز اسمنت 2طن +رمل تك -دار 54 , 2 طن اسمنت +تك رمل -دار 113</t>
  </si>
  <si>
    <t>تجهيز اسمنت 14 طن</t>
  </si>
  <si>
    <t>أجور عمل كهربائي</t>
  </si>
  <si>
    <t>سلفة - شتايكر</t>
  </si>
  <si>
    <t>1650</t>
  </si>
  <si>
    <t>1651</t>
  </si>
  <si>
    <t>1652</t>
  </si>
  <si>
    <t>عمل حدادة - دار 64</t>
  </si>
  <si>
    <t xml:space="preserve">رصيد قاـصــــــــــــــة </t>
  </si>
  <si>
    <t>صرفيات الشركة - الموقع</t>
  </si>
  <si>
    <t>النوع</t>
  </si>
  <si>
    <t xml:space="preserve">مستلم </t>
  </si>
  <si>
    <t>1654</t>
  </si>
  <si>
    <t>تفويل كاز الى هيئة الاستثمار</t>
  </si>
  <si>
    <t>م. ثانية</t>
  </si>
  <si>
    <t>م. ثالثة</t>
  </si>
  <si>
    <t>مجموع</t>
  </si>
  <si>
    <t>ر صيد القاصة</t>
  </si>
  <si>
    <t>صرفيات الشركه ككل</t>
  </si>
  <si>
    <t>حسين حمزة مسعد</t>
  </si>
  <si>
    <t>1655</t>
  </si>
  <si>
    <t>باقي 528 الف</t>
  </si>
  <si>
    <t>طلال رمضان صكر</t>
  </si>
  <si>
    <t>قائمة فواتير - مواد بلاستيكية</t>
  </si>
  <si>
    <t>1656</t>
  </si>
  <si>
    <t>أبواب خشب</t>
  </si>
  <si>
    <t>قبض مبلغ - صرف في 1655-1256-1657</t>
  </si>
  <si>
    <t>1657</t>
  </si>
  <si>
    <t>1658</t>
  </si>
  <si>
    <t>1660</t>
  </si>
  <si>
    <t>1661</t>
  </si>
  <si>
    <t>1662</t>
  </si>
  <si>
    <t>سحب مبلغ - محمع لارسا</t>
  </si>
  <si>
    <t>شراء طابعة</t>
  </si>
  <si>
    <t>قبض مبلغ - صرف في 1654-1661-1662-100 الف - 1660</t>
  </si>
  <si>
    <t>1664</t>
  </si>
  <si>
    <t>1665</t>
  </si>
  <si>
    <t>تصليح دريلات في الموقع</t>
  </si>
  <si>
    <t>رصيد قاصة</t>
  </si>
  <si>
    <t>1666</t>
  </si>
  <si>
    <t>قبض مبلغ- محمد عباس - رصيد قاصة</t>
  </si>
  <si>
    <t>قبض مبلغ</t>
  </si>
  <si>
    <t>600</t>
  </si>
  <si>
    <t>ZA3-71</t>
  </si>
  <si>
    <t>الفرق</t>
  </si>
  <si>
    <t>1667</t>
  </si>
  <si>
    <t>مكافأة</t>
  </si>
  <si>
    <t>1668</t>
  </si>
  <si>
    <t>قبض مبلغ - صرف في 1654-1661-1662-100 الف في 1660</t>
  </si>
  <si>
    <t>قبض مبلغ -- صرف الى هاتف في وصل -1616</t>
  </si>
  <si>
    <t xml:space="preserve">ابو مرتضى </t>
  </si>
  <si>
    <t>علي عبد الخضر مهدي</t>
  </si>
  <si>
    <t>1669</t>
  </si>
  <si>
    <t>1670</t>
  </si>
  <si>
    <t>احمد حمزة</t>
  </si>
  <si>
    <t>خضير</t>
  </si>
  <si>
    <t>تأسيس مياة</t>
  </si>
  <si>
    <t>حفر نزالات الكهرباء</t>
  </si>
  <si>
    <t>قبض مبلغ - صرف في فتره (من 5/1 الى 5/12)</t>
  </si>
  <si>
    <t>باقي 6,578,000</t>
  </si>
  <si>
    <t>تجهيز حديد - رقم القائمة 418 -419</t>
  </si>
  <si>
    <t>تجهيز حديد - رقم القائمة 418 - 419</t>
  </si>
  <si>
    <t>1672</t>
  </si>
  <si>
    <t>602</t>
  </si>
  <si>
    <t>باقي 3,500.000</t>
  </si>
  <si>
    <t>سلفة - تنظيف</t>
  </si>
  <si>
    <t>1673</t>
  </si>
  <si>
    <t>601</t>
  </si>
  <si>
    <t>ZB1-17</t>
  </si>
  <si>
    <t>الرصيد الحالي مع رصيد قاصه    =</t>
  </si>
  <si>
    <t>ر صيد في القاصة</t>
  </si>
  <si>
    <t>ر صيد مصاريف شركه</t>
  </si>
  <si>
    <t>رصيد قاصه</t>
  </si>
  <si>
    <t>439-603</t>
  </si>
  <si>
    <t>535-604</t>
  </si>
  <si>
    <t>603</t>
  </si>
  <si>
    <t>604</t>
  </si>
  <si>
    <t>605</t>
  </si>
  <si>
    <t>سعد عزيز عطية</t>
  </si>
  <si>
    <t>ZA5-109</t>
  </si>
  <si>
    <t>رياض نور عبدان</t>
  </si>
  <si>
    <t>1674</t>
  </si>
  <si>
    <t>1675</t>
  </si>
  <si>
    <t>1676</t>
  </si>
  <si>
    <t xml:space="preserve">سحب مبلغ فقط </t>
  </si>
  <si>
    <t xml:space="preserve">مخضر </t>
  </si>
  <si>
    <t>1677</t>
  </si>
  <si>
    <t>1678</t>
  </si>
  <si>
    <t>606</t>
  </si>
  <si>
    <t>ZA5-111</t>
  </si>
  <si>
    <t xml:space="preserve">باقي مليون بيت قديم </t>
  </si>
  <si>
    <t>نجارة وتسليح - بيتونات</t>
  </si>
  <si>
    <t>1679</t>
  </si>
  <si>
    <t xml:space="preserve">اعمال للباخة - دار 85 رقم القائمة -  1   </t>
  </si>
  <si>
    <t>1680</t>
  </si>
  <si>
    <t>ZA5-123</t>
  </si>
  <si>
    <t>607</t>
  </si>
  <si>
    <t>432-607</t>
  </si>
  <si>
    <t>1681</t>
  </si>
  <si>
    <t>خلفة بناء -وصل  لدار 122 - 2 وصل لدار 126</t>
  </si>
  <si>
    <t xml:space="preserve">غداء يوم جمعة </t>
  </si>
  <si>
    <t>1682</t>
  </si>
  <si>
    <t xml:space="preserve">قبض مبلغ - صرف في فتره (من 5/1 الى 5/12) </t>
  </si>
  <si>
    <t>صرفيات من 5/1 الى 5/12</t>
  </si>
  <si>
    <t>إيرادات مع قبض من أبو مرتضى من 5/1 الى 5/12</t>
  </si>
  <si>
    <t>595-608</t>
  </si>
  <si>
    <t>608</t>
  </si>
  <si>
    <t>1684</t>
  </si>
  <si>
    <t>باقي 1,000,000</t>
  </si>
  <si>
    <t>1685</t>
  </si>
  <si>
    <t>اعمال تنظيف - دار 148 - رقم قائمة 3</t>
  </si>
  <si>
    <t>سحب محمد عباس 25 من قاصه</t>
  </si>
  <si>
    <t xml:space="preserve">باقي ل حسن علي سلمان مليون </t>
  </si>
  <si>
    <t>سعد راضي باقيله مليون بيت قديم</t>
  </si>
  <si>
    <t>550-609</t>
  </si>
  <si>
    <t>609</t>
  </si>
  <si>
    <t>1686</t>
  </si>
  <si>
    <t>1687</t>
  </si>
  <si>
    <t>نجارة وتسليح - دار 163 - رقم قائمة 8</t>
  </si>
  <si>
    <t>نجارة وتسليح - دار 139 - رقم قائمة 6</t>
  </si>
  <si>
    <t>490-610</t>
  </si>
  <si>
    <t>ZA5-114</t>
  </si>
  <si>
    <t>610</t>
  </si>
  <si>
    <t>611</t>
  </si>
  <si>
    <t>احمد حمزة مسعد</t>
  </si>
  <si>
    <t>1688</t>
  </si>
  <si>
    <t>تأسيس مياة دار 112-111 - رقم قائمة  4-10</t>
  </si>
  <si>
    <t>سحب مبلغ - قادة النصر - دفع الى (كاظم شهد)</t>
  </si>
  <si>
    <t>1689</t>
  </si>
  <si>
    <t>1690</t>
  </si>
  <si>
    <t>تجهيز حديد - رقم القائمة 418 - 419-420</t>
  </si>
  <si>
    <t>مصطفى ماجد - حسن علي سلمان</t>
  </si>
  <si>
    <t>1691</t>
  </si>
  <si>
    <t>1692</t>
  </si>
  <si>
    <t>نجارة وتسليح - بيتونات رقم القائمة - 5-7</t>
  </si>
  <si>
    <t>1693</t>
  </si>
  <si>
    <t>اجور عمل فني كهرباء - لمده 12 يوم - رقم قائمة 9</t>
  </si>
  <si>
    <t>1694</t>
  </si>
  <si>
    <t>نجارة وتسليح -دار 148</t>
  </si>
  <si>
    <t>وجبة عشاء</t>
  </si>
  <si>
    <t>1695</t>
  </si>
  <si>
    <t>612</t>
  </si>
  <si>
    <t xml:space="preserve">مهلي قص 50 الف من الراتب </t>
  </si>
  <si>
    <t>محمد عباس اخذ 13 مليون من قاصه نقصه من دينه في وصل 1683</t>
  </si>
  <si>
    <t>كتمل حساب -418-419-420</t>
  </si>
  <si>
    <t>613</t>
  </si>
  <si>
    <t>1696</t>
  </si>
  <si>
    <t>1697</t>
  </si>
  <si>
    <t>1698</t>
  </si>
  <si>
    <t>دائرة كهرباء</t>
  </si>
  <si>
    <t xml:space="preserve">إعادة تشغيل المحولة </t>
  </si>
  <si>
    <t>صب كراج -دار 66</t>
  </si>
  <si>
    <t xml:space="preserve">إعادة سياج الخارجي </t>
  </si>
  <si>
    <t>مهلي البدري</t>
  </si>
  <si>
    <t>1700</t>
  </si>
  <si>
    <t>584-614</t>
  </si>
  <si>
    <t>614</t>
  </si>
  <si>
    <t>1683</t>
  </si>
  <si>
    <t>1701</t>
  </si>
  <si>
    <t xml:space="preserve">احمد الاسعد - قص مليون من راتب </t>
  </si>
  <si>
    <t xml:space="preserve">أيوب قص 300 الف من راتب </t>
  </si>
  <si>
    <t>أبو عباس - سلفة 200 الف</t>
  </si>
  <si>
    <t xml:space="preserve">دفع لمصطفى حيدر - 5 ملايين </t>
  </si>
  <si>
    <t>كتاب ملاحظات - أبو مرتضى</t>
  </si>
  <si>
    <t>1702</t>
  </si>
  <si>
    <t>615</t>
  </si>
  <si>
    <t>ZA3-58</t>
  </si>
  <si>
    <t>اسعد جبار زوير</t>
  </si>
  <si>
    <t>اعمال لباخ - دار 84</t>
  </si>
  <si>
    <t>1703</t>
  </si>
  <si>
    <t>تأسيس مياه - دار 109-110</t>
  </si>
  <si>
    <t>606-616</t>
  </si>
  <si>
    <t>616</t>
  </si>
  <si>
    <t>خبز</t>
  </si>
  <si>
    <t>1704</t>
  </si>
  <si>
    <t>سحب مبلغ - إضافة منفذ على الاجازة الاستثمارية للقادة النصر</t>
  </si>
  <si>
    <t>1705</t>
  </si>
  <si>
    <t>باقي النا 69 الف</t>
  </si>
  <si>
    <t>رقم وصل</t>
  </si>
  <si>
    <t xml:space="preserve">تاريخ </t>
  </si>
  <si>
    <t>مبلغ</t>
  </si>
  <si>
    <t>الباقي الى محمد</t>
  </si>
  <si>
    <t>قبض محمد عباس لشهر الــــ 5</t>
  </si>
  <si>
    <t>سحب محمد عباس  لشهر الــــ 5</t>
  </si>
  <si>
    <t>1706</t>
  </si>
  <si>
    <t>1707</t>
  </si>
  <si>
    <t>قبض مبلغ - صرف تكمله في وصل 1708</t>
  </si>
  <si>
    <t>1708</t>
  </si>
  <si>
    <t>قبض مبلغ - 5,500,000 اكمال دفعه امير-ادخال منفذ في وصل - 1708</t>
  </si>
  <si>
    <t>1709</t>
  </si>
  <si>
    <t>1711</t>
  </si>
  <si>
    <t>1712</t>
  </si>
  <si>
    <t>مالك علي بدر</t>
  </si>
  <si>
    <t>خلفة سيراميك- دار 54 - رقم قائمة 21</t>
  </si>
  <si>
    <t>1713</t>
  </si>
  <si>
    <t>شراء طلي للحجي</t>
  </si>
  <si>
    <t>قبض مبلغ - صرف 350 الف في 1712- 250 سللفه سيف - 100الف في 1711</t>
  </si>
  <si>
    <t>"100"قاصه"100"محمد</t>
  </si>
  <si>
    <t>كتاب ملاحظات للشهر الــــ 6</t>
  </si>
  <si>
    <t>250الف سلفة -سيف عباس</t>
  </si>
  <si>
    <t>1714</t>
  </si>
  <si>
    <t>1715</t>
  </si>
  <si>
    <t>قبض مبلغ - صرف في 1715</t>
  </si>
  <si>
    <t>1716</t>
  </si>
  <si>
    <t>1717</t>
  </si>
  <si>
    <t>1718</t>
  </si>
  <si>
    <t>قبض مبلغ صرف في 1717 - 70 الف وفي 1718 - 50 الف وفي القاصه 20 الف</t>
  </si>
  <si>
    <t>1719</t>
  </si>
  <si>
    <t>ايجار المنزل</t>
  </si>
  <si>
    <t>1720</t>
  </si>
  <si>
    <t>قبض مبلغ صرف في 1717 - 70 الف وفي 1718 - 50 الف وفي القاصه 30 الف</t>
  </si>
  <si>
    <t>محمد سلمني 5 مليون</t>
  </si>
  <si>
    <t>نجارة وتسليح - دار 117 - رقم قائمة 16</t>
  </si>
  <si>
    <t>نجارة وتسليح - دار 142- رقم القائمة -17</t>
  </si>
  <si>
    <t>تأخير جكات</t>
  </si>
  <si>
    <t>1721</t>
  </si>
  <si>
    <t>1722</t>
  </si>
  <si>
    <t>1723</t>
  </si>
  <si>
    <t>1724</t>
  </si>
  <si>
    <t>1725</t>
  </si>
  <si>
    <t>علي حسين الغزي</t>
  </si>
  <si>
    <t>خلفة سيراميك - دار 64-66-67-65- رقم قائمة 19</t>
  </si>
  <si>
    <t>باقي 1,500,000</t>
  </si>
  <si>
    <t>617</t>
  </si>
  <si>
    <t>ZA3-80</t>
  </si>
  <si>
    <t>ZA3-77</t>
  </si>
  <si>
    <t>618</t>
  </si>
  <si>
    <t>1726</t>
  </si>
  <si>
    <t>1727</t>
  </si>
  <si>
    <t>1728</t>
  </si>
  <si>
    <t>1729</t>
  </si>
  <si>
    <t>1730</t>
  </si>
  <si>
    <t>1731</t>
  </si>
  <si>
    <t>1732</t>
  </si>
  <si>
    <t>1733</t>
  </si>
  <si>
    <t>عبد العزيز</t>
  </si>
  <si>
    <t>رواتب الموظفين للشهر الـــــ  5 -الموقع</t>
  </si>
  <si>
    <t>رواتب الموظفين للشهر الـــــ  5 -شركة</t>
  </si>
  <si>
    <t>1734</t>
  </si>
  <si>
    <t>1735</t>
  </si>
  <si>
    <t>1736</t>
  </si>
  <si>
    <t>اعمال لبخ - دار 83</t>
  </si>
  <si>
    <t>1737</t>
  </si>
  <si>
    <t>1738</t>
  </si>
  <si>
    <t>1739</t>
  </si>
  <si>
    <t>1740</t>
  </si>
  <si>
    <t>1741</t>
  </si>
  <si>
    <t>عدنان عبد حسن</t>
  </si>
  <si>
    <t>619</t>
  </si>
  <si>
    <t>ZA4-91</t>
  </si>
  <si>
    <t>1742</t>
  </si>
  <si>
    <t>م. الجوهرة</t>
  </si>
  <si>
    <t>سحب المبلغ الى مجمع الجوهرة</t>
  </si>
  <si>
    <t>محمد مجيد - قص راتب 50 الف -سابقا منطينه 100 الف</t>
  </si>
  <si>
    <t>1743</t>
  </si>
  <si>
    <t>سحب مبلغ  - فقط</t>
  </si>
  <si>
    <t>سلفة 100 الف - سيف عباس</t>
  </si>
  <si>
    <t>تجهيز اسمنت</t>
  </si>
  <si>
    <t>1744</t>
  </si>
  <si>
    <t>محمد اخذ 15 مليون بدون وصل من قاصه</t>
  </si>
  <si>
    <t>1745</t>
  </si>
  <si>
    <t>رصيد قاـصــــــــــــــة من الشهر الــــــــــ 5</t>
  </si>
  <si>
    <t>1746</t>
  </si>
  <si>
    <t>اخذ من القاصه 15 م</t>
  </si>
  <si>
    <t>الباقي من 50 م</t>
  </si>
  <si>
    <t>620</t>
  </si>
  <si>
    <t>621</t>
  </si>
  <si>
    <t>1747</t>
  </si>
  <si>
    <t>1748</t>
  </si>
  <si>
    <t>1749</t>
  </si>
  <si>
    <t>1750</t>
  </si>
  <si>
    <t>1751</t>
  </si>
  <si>
    <t>1752</t>
  </si>
  <si>
    <t>622</t>
  </si>
  <si>
    <t>ZA3-55</t>
  </si>
  <si>
    <t>1753</t>
  </si>
  <si>
    <t>حسين حمزة</t>
  </si>
  <si>
    <t>1754</t>
  </si>
  <si>
    <t>سيف علي هاشم</t>
  </si>
  <si>
    <t>خلفة شتايكر - رقم القائمة -11-12-13</t>
  </si>
  <si>
    <t>تأسيس مياه - دار 107-108</t>
  </si>
  <si>
    <t>نجارة وتسليح-دار 139</t>
  </si>
  <si>
    <t>نجارو بيتونات دار 86-87-154-112-111-110</t>
  </si>
  <si>
    <t>1755</t>
  </si>
  <si>
    <t>1756</t>
  </si>
  <si>
    <t>1758</t>
  </si>
  <si>
    <t>سحب مبلغ -قادة النصر  - صرف الى  م.وائل</t>
  </si>
  <si>
    <t>سحب مبلغ -قادة النصر -صرف الى كاضم شهد - الدفعة الخامسة</t>
  </si>
  <si>
    <t>خلفة سيراميك</t>
  </si>
  <si>
    <t>اعمال للبخ-دار 113-رقم قائمة 22</t>
  </si>
  <si>
    <t>خلفة - اعمال بناء 3 وصولات 2 دار 126-1 دار 154</t>
  </si>
  <si>
    <t>1759</t>
  </si>
  <si>
    <t xml:space="preserve">أجور عمل كهرباء </t>
  </si>
  <si>
    <t>1760</t>
  </si>
  <si>
    <t>624</t>
  </si>
  <si>
    <t>1761</t>
  </si>
  <si>
    <t>1762</t>
  </si>
  <si>
    <t>1763</t>
  </si>
  <si>
    <t>1764</t>
  </si>
  <si>
    <t>1765</t>
  </si>
  <si>
    <t xml:space="preserve">سرمد </t>
  </si>
  <si>
    <t>حارس لارسا</t>
  </si>
  <si>
    <t>ZA4-88</t>
  </si>
  <si>
    <t>اعمال لبخ - دار 82</t>
  </si>
  <si>
    <t xml:space="preserve"> صرفيات موقع- قوائم مشتريات -كهرباء</t>
  </si>
  <si>
    <t>اقصاد سبلت</t>
  </si>
  <si>
    <t>رمل + اسمنت + حصو</t>
  </si>
  <si>
    <t>عشاء</t>
  </si>
  <si>
    <t xml:space="preserve">قص من راتب محمد مجيد 50 الف باقي 300 من راتب </t>
  </si>
  <si>
    <t xml:space="preserve">سحب مبلغ - 2.5 أبو خالد -مليون أبو مرتضى </t>
  </si>
  <si>
    <t>سحب مبلغ - فقط بيد عبدالعزيز</t>
  </si>
  <si>
    <t>1766</t>
  </si>
  <si>
    <t>1767</t>
  </si>
  <si>
    <t>اعمال شتايكر</t>
  </si>
  <si>
    <t>باقي له 3 الف</t>
  </si>
  <si>
    <t>1768</t>
  </si>
  <si>
    <t>شراء احبار الاختام</t>
  </si>
  <si>
    <t>عباس فاضل عكاب</t>
  </si>
  <si>
    <t>625</t>
  </si>
  <si>
    <t>9</t>
  </si>
  <si>
    <t>أسماء قاسم كاظم</t>
  </si>
  <si>
    <t>علي شغاتي جعاز</t>
  </si>
  <si>
    <t>626</t>
  </si>
  <si>
    <t>627</t>
  </si>
  <si>
    <t>الشهر الخامس ل 2026</t>
  </si>
  <si>
    <t>1619</t>
  </si>
  <si>
    <t>1769</t>
  </si>
  <si>
    <t>1770</t>
  </si>
  <si>
    <t>قبض مبلغ - صرف الى اسعد جبار زوير</t>
  </si>
  <si>
    <t xml:space="preserve">قبض مليون من أبو مرتى وانطيته الى اسعد جبار - وسابقا منطيه أبو مرتضئ 2 مليون </t>
  </si>
  <si>
    <t>1771</t>
  </si>
  <si>
    <t>1772</t>
  </si>
  <si>
    <t>قبض مبلغ - صرف في وصل -  1771</t>
  </si>
  <si>
    <t>628</t>
  </si>
  <si>
    <t>ZA3-57</t>
  </si>
  <si>
    <t>1773</t>
  </si>
  <si>
    <t>1774</t>
  </si>
  <si>
    <t>1775</t>
  </si>
  <si>
    <t>راتب الشهر السادس</t>
  </si>
  <si>
    <t xml:space="preserve">علي -مكتب ادم </t>
  </si>
  <si>
    <t>ابو مرتضى</t>
  </si>
  <si>
    <t>سحب مبلغ - وصرفه الى سيد احمد محمد مكطوف</t>
  </si>
  <si>
    <t>دين سابق - راتب مهدي</t>
  </si>
  <si>
    <t>1776</t>
  </si>
  <si>
    <t>1777</t>
  </si>
  <si>
    <t>1778</t>
  </si>
  <si>
    <t>طباعة خرائط + مصاريف الشركة</t>
  </si>
  <si>
    <t>إجازة استيراد مولد للجوهرة - م . علي</t>
  </si>
  <si>
    <t>1779</t>
  </si>
  <si>
    <t>1780</t>
  </si>
  <si>
    <t>1781</t>
  </si>
  <si>
    <t>1782</t>
  </si>
  <si>
    <t>1783</t>
  </si>
  <si>
    <t>محمد مجيد</t>
  </si>
  <si>
    <t>1784</t>
  </si>
  <si>
    <t>1785</t>
  </si>
  <si>
    <t>1786</t>
  </si>
  <si>
    <t>أجور نقل في الموقع</t>
  </si>
  <si>
    <t>اقصاد السبلت</t>
  </si>
  <si>
    <t>629</t>
  </si>
  <si>
    <t>1787</t>
  </si>
  <si>
    <t>قبض مبلغ - تم تسليمه بيد احمد السوري - صرفيات موقع</t>
  </si>
  <si>
    <t>630</t>
  </si>
  <si>
    <t>ZA5-124</t>
  </si>
  <si>
    <t>1788</t>
  </si>
  <si>
    <t>1789</t>
  </si>
  <si>
    <t>1790</t>
  </si>
  <si>
    <t xml:space="preserve">اعمال لبخ </t>
  </si>
  <si>
    <t>1791</t>
  </si>
  <si>
    <t>1792</t>
  </si>
  <si>
    <t>1793</t>
  </si>
  <si>
    <t>مج</t>
  </si>
  <si>
    <t>631</t>
  </si>
  <si>
    <t>ZA7-150</t>
  </si>
  <si>
    <t>اعمال للبخ -دار 82-84-87</t>
  </si>
  <si>
    <t>1794</t>
  </si>
  <si>
    <t>1795</t>
  </si>
  <si>
    <t>خلفة سيراميك - دار 56- رقم قائمة 30 - واصل له 300 في وصل 1758</t>
  </si>
  <si>
    <t>نثرية</t>
  </si>
  <si>
    <t>قبض مبلغ - صرف الى اسعد جبار زوير في وصل 1790</t>
  </si>
  <si>
    <t>1796</t>
  </si>
  <si>
    <t>1797</t>
  </si>
  <si>
    <t>1798</t>
  </si>
  <si>
    <t>1799</t>
  </si>
  <si>
    <t>1800</t>
  </si>
  <si>
    <t xml:space="preserve">مكتب ادم - علي </t>
  </si>
  <si>
    <t>تعريف كمركية</t>
  </si>
  <si>
    <t>632</t>
  </si>
  <si>
    <t>1801</t>
  </si>
  <si>
    <t>1802</t>
  </si>
  <si>
    <t>1803</t>
  </si>
  <si>
    <t>1804</t>
  </si>
  <si>
    <t>1805</t>
  </si>
  <si>
    <t>1806</t>
  </si>
  <si>
    <t xml:space="preserve">أبو علي </t>
  </si>
  <si>
    <t>إيصال تيار كهرباء - دار 91</t>
  </si>
  <si>
    <t xml:space="preserve">علي الغزي </t>
  </si>
  <si>
    <t>خلفة سيراميك أرضية -دار 64 رقم قائمة 35</t>
  </si>
  <si>
    <t>اعمال شتايكر- دار 55-58-59 رقم قائمة 29-33-34</t>
  </si>
  <si>
    <t>633</t>
  </si>
  <si>
    <t>1807</t>
  </si>
  <si>
    <t>أجور عمل كهرباء - 75 الف من قائمه 26 - و الف25 عمل يوم واحد</t>
  </si>
  <si>
    <t>1808</t>
  </si>
  <si>
    <t>سحب مبلغ فقط (سيد نور )</t>
  </si>
  <si>
    <t>1809</t>
  </si>
  <si>
    <t>1810</t>
  </si>
  <si>
    <t>1811</t>
  </si>
  <si>
    <t>م.ولاء عبد الحسين</t>
  </si>
  <si>
    <t>أجور اعمال المساحة م.الجوهره</t>
  </si>
  <si>
    <t>611-634</t>
  </si>
  <si>
    <t>634</t>
  </si>
  <si>
    <t>علاء الدين غازي</t>
  </si>
  <si>
    <t>1812</t>
  </si>
  <si>
    <t>أجور التعريف الكمركية</t>
  </si>
  <si>
    <t>1813</t>
  </si>
  <si>
    <t>1814</t>
  </si>
  <si>
    <t>سلفة - لبخ دار 70</t>
  </si>
  <si>
    <t>الشهر السادس ل 2026</t>
  </si>
  <si>
    <t>ثلج</t>
  </si>
  <si>
    <t>1815</t>
  </si>
  <si>
    <t>1816</t>
  </si>
  <si>
    <t>سلفة - لبخ</t>
  </si>
  <si>
    <t>1817</t>
  </si>
  <si>
    <t>كتاب ملاحظات للشهر الــــ 7</t>
  </si>
  <si>
    <t>قص 100 الف من راتب محمد مجيد</t>
  </si>
  <si>
    <t>1818</t>
  </si>
  <si>
    <t>أبو كرين</t>
  </si>
  <si>
    <t>نقل كرفانات من م.جوهرة الى م.لارسا</t>
  </si>
  <si>
    <t>مومل باسم بشير</t>
  </si>
  <si>
    <t>عبدالرحمن بشير</t>
  </si>
  <si>
    <t>635</t>
  </si>
  <si>
    <t>636</t>
  </si>
  <si>
    <t>637</t>
  </si>
  <si>
    <t>محمد عبد الحسين</t>
  </si>
  <si>
    <t>باقي له 740الف</t>
  </si>
  <si>
    <t>1819</t>
  </si>
  <si>
    <t>1820</t>
  </si>
  <si>
    <t>صبغ واجهة - دار 91 -رقم قائمة 38</t>
  </si>
  <si>
    <t>هيئة الوطنية</t>
  </si>
  <si>
    <t>ايجار منزل - د.نصير -2 شهر</t>
  </si>
  <si>
    <t xml:space="preserve">أجور  اعفاء كمركية </t>
  </si>
  <si>
    <t>1821</t>
  </si>
  <si>
    <t>1822</t>
  </si>
  <si>
    <t>1823</t>
  </si>
  <si>
    <t>1824</t>
  </si>
  <si>
    <t>1826</t>
  </si>
  <si>
    <t>1827</t>
  </si>
  <si>
    <t>صبغ واجهة -دار 91 - رقم قائمة 38</t>
  </si>
  <si>
    <t>كناتر - أجور نقل الطابوق -درب20 الف عدد 16</t>
  </si>
  <si>
    <t xml:space="preserve">اجرائات سحب وحدات </t>
  </si>
  <si>
    <t>638</t>
  </si>
  <si>
    <t>613-638</t>
  </si>
  <si>
    <t>الشهر السابع ل 2026</t>
  </si>
  <si>
    <t>فائض من شهر سابق</t>
  </si>
  <si>
    <t>فائض من شهر سابق =</t>
  </si>
  <si>
    <t>639</t>
  </si>
  <si>
    <t>1828</t>
  </si>
  <si>
    <t>1829</t>
  </si>
  <si>
    <t>خلفة بناء -3 وصولات</t>
  </si>
  <si>
    <t>1830</t>
  </si>
  <si>
    <t>سحب مبلغ - أبو مرتضى (سيد نور)</t>
  </si>
  <si>
    <t>مكافاة</t>
  </si>
  <si>
    <t>1831</t>
  </si>
  <si>
    <t>أبو القاسم محمد عبد حسن</t>
  </si>
  <si>
    <t>ZA7-142</t>
  </si>
  <si>
    <t>642</t>
  </si>
  <si>
    <t>643</t>
  </si>
  <si>
    <t>1832</t>
  </si>
  <si>
    <t>1833</t>
  </si>
  <si>
    <t>1834</t>
  </si>
  <si>
    <t>1835</t>
  </si>
  <si>
    <t>1836</t>
  </si>
  <si>
    <t>1837</t>
  </si>
  <si>
    <t>1838</t>
  </si>
  <si>
    <t>1839</t>
  </si>
  <si>
    <t xml:space="preserve">أيوب عمران </t>
  </si>
  <si>
    <t>1840</t>
  </si>
  <si>
    <t>1841</t>
  </si>
  <si>
    <t xml:space="preserve">تجهيز أبواب خشب </t>
  </si>
  <si>
    <t>1842</t>
  </si>
  <si>
    <t>1843</t>
  </si>
  <si>
    <t>راتب الشهر السابع - موقع</t>
  </si>
  <si>
    <t>راتب الشهر السابع -شركة</t>
  </si>
  <si>
    <t>راتب الشهر السابع - شركة</t>
  </si>
  <si>
    <t>1844</t>
  </si>
  <si>
    <t>تجهيز شتايكر دار - 56-57 رقم قائمة -36-37</t>
  </si>
  <si>
    <t>1845</t>
  </si>
  <si>
    <t>كتاب ملاحظات للشهر الــــ 8</t>
  </si>
  <si>
    <t xml:space="preserve">قص 100 الف من راتب مهلي </t>
  </si>
  <si>
    <t>باقي 140 الف</t>
  </si>
  <si>
    <t>طماطه</t>
  </si>
  <si>
    <t>دجاج</t>
  </si>
  <si>
    <t xml:space="preserve">اجره نقل مواد مجاري </t>
  </si>
  <si>
    <t>صرفيات الموقع (سيف عباس محمد) من تاريخ 11/8/2026 الى تاريخ 16/8/2026</t>
  </si>
  <si>
    <t xml:space="preserve">زيت + معجون </t>
  </si>
  <si>
    <t>بانزين مولد</t>
  </si>
  <si>
    <t>مشتريات تنظيف</t>
  </si>
  <si>
    <t xml:space="preserve">مشتريات مطبخ </t>
  </si>
  <si>
    <t xml:space="preserve">ماء ارو - لارسا + الجوهره </t>
  </si>
  <si>
    <t xml:space="preserve">لبن + جبن + طرشي  + زيتون + روبه </t>
  </si>
  <si>
    <t>بانزين موالد</t>
  </si>
  <si>
    <t>سمك</t>
  </si>
  <si>
    <t xml:space="preserve">كناتر - أجور نقل الطابوق </t>
  </si>
  <si>
    <t>1846</t>
  </si>
  <si>
    <t>1847</t>
  </si>
  <si>
    <t>1848</t>
  </si>
  <si>
    <t>المبلغ الايراد</t>
  </si>
  <si>
    <t>المبلغ الصرف</t>
  </si>
  <si>
    <t>رصيد قاصه    =</t>
  </si>
  <si>
    <t>1849</t>
  </si>
  <si>
    <t>1850</t>
  </si>
  <si>
    <t>1851</t>
  </si>
  <si>
    <t>1852</t>
  </si>
  <si>
    <t>1853</t>
  </si>
  <si>
    <t>1854</t>
  </si>
  <si>
    <t>1855</t>
  </si>
  <si>
    <t>محمد عباس منطيها</t>
  </si>
  <si>
    <t>644</t>
  </si>
  <si>
    <t>حمزه حسين صدام</t>
  </si>
  <si>
    <t>حمزه حسين صدام /وكيل فواد صالح حسين/ 24858</t>
  </si>
  <si>
    <t>تأسيس مياه - دار 86</t>
  </si>
  <si>
    <t>احمد حمزه</t>
  </si>
  <si>
    <t>ZA5-100</t>
  </si>
  <si>
    <t>تننازل عن وحده سكنية - حمزه حسين صدام/وكيل فواد صالح حسين /24858</t>
  </si>
  <si>
    <t>باقي له 1,150</t>
  </si>
  <si>
    <t xml:space="preserve">لبخ دار  70 -  رقم قائمة 40 </t>
  </si>
  <si>
    <t>دين له 40 الف</t>
  </si>
  <si>
    <t xml:space="preserve">ايراد تنازل </t>
  </si>
  <si>
    <t xml:space="preserve">كاظم طاهر كعار </t>
  </si>
  <si>
    <t>سحب - لارسا - راتب كاظم</t>
  </si>
  <si>
    <t>صرفيات الموقع + دين له من وصل 1846 (40 الف)</t>
  </si>
  <si>
    <t xml:space="preserve">سلفة 30 الف </t>
  </si>
  <si>
    <t>646</t>
  </si>
  <si>
    <t>1856</t>
  </si>
  <si>
    <t>تننازل عن وحده سكنية - خير الله عودة سويف</t>
  </si>
  <si>
    <t xml:space="preserve">  </t>
  </si>
  <si>
    <t>اقصاد إطارات سيارة - الدفعة الرابعة</t>
  </si>
  <si>
    <t>1862</t>
  </si>
  <si>
    <t>1857</t>
  </si>
  <si>
    <t>1858</t>
  </si>
  <si>
    <t>1859</t>
  </si>
  <si>
    <t>1860</t>
  </si>
  <si>
    <t>1861</t>
  </si>
  <si>
    <t>علي فاضل - م.ادم</t>
  </si>
  <si>
    <t>أجور المتابعة</t>
  </si>
  <si>
    <t>سحب مبلغ - أبو مرتضى تم تسليمه الى كاظم شهد (أبو سالم)</t>
  </si>
  <si>
    <t>اقصاد إطارات سيارة - الدفعة الخامسة</t>
  </si>
  <si>
    <t>علب أنور شبيب</t>
  </si>
  <si>
    <t>سحب لارسا - راتب حارس لارسا</t>
  </si>
  <si>
    <t>ايراد تنازل</t>
  </si>
  <si>
    <t xml:space="preserve"> 250الف سلفه سيف عباس</t>
  </si>
  <si>
    <t>1863</t>
  </si>
  <si>
    <t>نوار سلمان محمد</t>
  </si>
  <si>
    <t>فتح ونقل الأبواب الخشب من دار 90 الى دار 91</t>
  </si>
  <si>
    <t>1864</t>
  </si>
  <si>
    <t>1865</t>
  </si>
  <si>
    <t>1866</t>
  </si>
  <si>
    <t>سحب مبلغ - أبو مرتضى - ارجاع دين (أبو رقية)</t>
  </si>
  <si>
    <t>سحب مبلغ - أبو مرتضى - ارجاع دين (كرار عباس)</t>
  </si>
  <si>
    <t>سحب مبلغ - أبو مرتضى - ارجاع دين (عباس الصالحي )</t>
  </si>
  <si>
    <t>بسجل موجوده فقط</t>
  </si>
  <si>
    <t>رصيد الإيرادات المتبقي من الشهر الــــــــــ 8-15</t>
  </si>
  <si>
    <t>1867</t>
  </si>
  <si>
    <t>1868</t>
  </si>
  <si>
    <t>قبض مبلغ - صرف في وصل - 1868</t>
  </si>
  <si>
    <t>مج - الصرفيات</t>
  </si>
  <si>
    <t>مج - الإيرادات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</si>
</sst>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* #,##0\ &quot;د.ع.‏&quot;_-;\-* #,##0\ &quot;د.ع.‏&quot;_-;_-* &quot;-&quot;\ &quot;د.ع.‏&quot;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yyyy\-mm\-dd;@"/>
    <numFmt numFmtId="167" formatCode="_-* #,##0\ [$د.ع.‏-801]_-;\-* #,##0\ [$د.ع.‏-801]_-;_-* &quot;-&quot;\ [$د.ع.‏-801]_-;_-@_-"/>
    <numFmt numFmtId="168" formatCode="#,##0\ [$د.ع.‏-801]"/>
    <numFmt numFmtId="169" formatCode="_-* #,##0.00\ [$د.ع.‏-801]_-;\-* #,##0.00\ [$د.ع.‏-801]_-;_-* &quot;-&quot;??\ [$د.ع.‏-801]_-;_-@_-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5700"/>
      <name val="Calibri"/>
      <family val="2"/>
      <charset val="178"/>
      <scheme val="minor"/>
    </font>
    <font>
      <sz val="10"/>
      <color theme="1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5"/>
      <color theme="3"/>
      <name val="Calibri"/>
      <family val="2"/>
      <charset val="178"/>
      <scheme val="minor"/>
    </font>
    <font>
      <b/>
      <sz val="11"/>
      <name val="Calibri"/>
      <family val="2"/>
      <scheme val="minor"/>
    </font>
    <font>
      <b/>
      <sz val="13"/>
      <color theme="3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2"/>
      <color rgb="FFFF0000"/>
      <name val="Calibri"/>
      <family val="2"/>
      <scheme val="minor"/>
    </font>
    <font>
      <sz val="9"/>
      <color indexed="81"/>
      <name val="Tahoma"/>
      <charset val="178"/>
    </font>
    <font>
      <b/>
      <sz val="9"/>
      <color indexed="81"/>
      <name val="Tahoma"/>
      <charset val="178"/>
    </font>
    <font>
      <b/>
      <sz val="8"/>
      <color indexed="81"/>
      <name val="Tahoma"/>
      <family val="2"/>
    </font>
    <font>
      <sz val="12"/>
      <color rgb="FF0061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B8B"/>
      <name val="Calibri"/>
      <family val="2"/>
      <scheme val="minor"/>
    </font>
    <font>
      <sz val="9"/>
      <color theme="1"/>
      <name val="Calibri"/>
      <family val="2"/>
      <charset val="17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EECECE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17">
    <xf numFmtId="0" fontId="0" fillId="0" borderId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8" fillId="30" borderId="0" applyNumberFormat="0" applyBorder="0" applyAlignment="0" applyProtection="0"/>
    <xf numFmtId="0" fontId="50" fillId="31" borderId="0" applyNumberFormat="0" applyBorder="0" applyAlignment="0" applyProtection="0"/>
    <xf numFmtId="0" fontId="17" fillId="32" borderId="0" applyNumberFormat="0" applyBorder="0" applyAlignment="0" applyProtection="0"/>
    <xf numFmtId="0" fontId="16" fillId="33" borderId="0" applyNumberFormat="0" applyBorder="0" applyAlignment="0" applyProtection="0"/>
    <xf numFmtId="0" fontId="53" fillId="0" borderId="0" applyNumberFormat="0" applyFill="0" applyBorder="0" applyAlignment="0" applyProtection="0"/>
    <xf numFmtId="0" fontId="57" fillId="0" borderId="17" applyNumberFormat="0" applyFill="0" applyAlignment="0" applyProtection="0"/>
    <xf numFmtId="0" fontId="15" fillId="34" borderId="0" applyNumberFormat="0" applyBorder="0" applyAlignment="0" applyProtection="0"/>
    <xf numFmtId="0" fontId="59" fillId="0" borderId="18" applyNumberFormat="0" applyFill="0" applyAlignment="0" applyProtection="0"/>
    <xf numFmtId="0" fontId="11" fillId="36" borderId="0" applyNumberFormat="0" applyBorder="0" applyAlignment="0" applyProtection="0"/>
    <xf numFmtId="0" fontId="68" fillId="0" borderId="2" applyAlignment="0">
      <alignment horizontal="center" vertical="center"/>
    </xf>
  </cellStyleXfs>
  <cellXfs count="363">
    <xf numFmtId="0" fontId="0" fillId="0" borderId="0" xfId="0"/>
    <xf numFmtId="0" fontId="21" fillId="3" borderId="2" xfId="0" applyFont="1" applyFill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167" fontId="21" fillId="3" borderId="2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49" fontId="23" fillId="0" borderId="2" xfId="0" applyNumberFormat="1" applyFon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24" fillId="5" borderId="2" xfId="0" applyNumberFormat="1" applyFont="1" applyFill="1" applyBorder="1" applyAlignment="1">
      <alignment horizontal="center" vertical="center" readingOrder="2"/>
    </xf>
    <xf numFmtId="166" fontId="23" fillId="6" borderId="2" xfId="0" applyNumberFormat="1" applyFont="1" applyFill="1" applyBorder="1" applyAlignment="1">
      <alignment horizontal="center" vertical="center"/>
    </xf>
    <xf numFmtId="49" fontId="0" fillId="7" borderId="2" xfId="0" applyNumberFormat="1" applyFill="1" applyBorder="1" applyAlignment="1">
      <alignment horizontal="center"/>
    </xf>
    <xf numFmtId="167" fontId="0" fillId="0" borderId="2" xfId="0" applyNumberFormat="1" applyBorder="1"/>
    <xf numFmtId="166" fontId="0" fillId="4" borderId="2" xfId="0" applyNumberFormat="1" applyFill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166" fontId="23" fillId="6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49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3" fillId="0" borderId="0" xfId="0" applyFont="1" applyAlignment="1">
      <alignment horizontal="center" vertical="center"/>
    </xf>
    <xf numFmtId="0" fontId="33" fillId="12" borderId="3" xfId="0" applyFont="1" applyFill="1" applyBorder="1" applyAlignment="1">
      <alignment horizontal="center" vertical="center"/>
    </xf>
    <xf numFmtId="166" fontId="33" fillId="13" borderId="3" xfId="0" applyNumberFormat="1" applyFont="1" applyFill="1" applyBorder="1" applyAlignment="1">
      <alignment horizontal="center" vertical="center"/>
    </xf>
    <xf numFmtId="168" fontId="34" fillId="11" borderId="3" xfId="2" applyNumberFormat="1" applyFont="1" applyFill="1" applyBorder="1" applyAlignment="1" applyProtection="1">
      <alignment horizontal="center" vertical="center"/>
    </xf>
    <xf numFmtId="169" fontId="34" fillId="11" borderId="3" xfId="4" applyNumberFormat="1" applyFont="1" applyFill="1" applyBorder="1" applyAlignment="1">
      <alignment horizontal="center" vertical="center"/>
    </xf>
    <xf numFmtId="0" fontId="34" fillId="11" borderId="3" xfId="4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49" fontId="0" fillId="11" borderId="3" xfId="0" applyNumberFormat="1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7" fontId="0" fillId="14" borderId="3" xfId="1" applyNumberFormat="1" applyFont="1" applyFill="1" applyBorder="1" applyAlignment="1" applyProtection="1">
      <alignment horizontal="center" vertical="center" readingOrder="2"/>
    </xf>
    <xf numFmtId="167" fontId="0" fillId="14" borderId="3" xfId="0" applyNumberFormat="1" applyFill="1" applyBorder="1" applyAlignment="1">
      <alignment horizontal="center" vertical="center"/>
    </xf>
    <xf numFmtId="167" fontId="0" fillId="15" borderId="2" xfId="0" applyNumberFormat="1" applyFill="1" applyBorder="1" applyAlignment="1">
      <alignment horizontal="center" vertical="center"/>
    </xf>
    <xf numFmtId="167" fontId="0" fillId="15" borderId="3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167" fontId="0" fillId="14" borderId="2" xfId="0" applyNumberFormat="1" applyFill="1" applyBorder="1" applyAlignment="1">
      <alignment horizontal="center" vertical="center"/>
    </xf>
    <xf numFmtId="167" fontId="0" fillId="14" borderId="2" xfId="1" applyNumberFormat="1" applyFont="1" applyFill="1" applyBorder="1" applyAlignment="1" applyProtection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49" fontId="0" fillId="7" borderId="2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167" fontId="0" fillId="16" borderId="2" xfId="1" applyNumberFormat="1" applyFont="1" applyFill="1" applyBorder="1" applyAlignment="1" applyProtection="1">
      <alignment horizontal="center" vertical="center" readingOrder="2"/>
    </xf>
    <xf numFmtId="0" fontId="23" fillId="0" borderId="2" xfId="3" applyFont="1" applyFill="1" applyBorder="1" applyAlignment="1">
      <alignment horizontal="center" vertical="center"/>
    </xf>
    <xf numFmtId="49" fontId="23" fillId="0" borderId="2" xfId="3" applyNumberFormat="1" applyFont="1" applyFill="1" applyBorder="1" applyAlignment="1">
      <alignment horizontal="center" vertical="center"/>
    </xf>
    <xf numFmtId="0" fontId="23" fillId="0" borderId="3" xfId="3" applyFont="1" applyFill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" fontId="23" fillId="11" borderId="3" xfId="0" applyNumberFormat="1" applyFont="1" applyFill="1" applyBorder="1" applyAlignment="1">
      <alignment horizontal="center" vertical="center"/>
    </xf>
    <xf numFmtId="166" fontId="23" fillId="7" borderId="3" xfId="0" applyNumberFormat="1" applyFont="1" applyFill="1" applyBorder="1" applyAlignment="1">
      <alignment horizontal="center" vertical="center"/>
    </xf>
    <xf numFmtId="167" fontId="23" fillId="14" borderId="3" xfId="1" applyNumberFormat="1" applyFont="1" applyFill="1" applyBorder="1" applyAlignment="1" applyProtection="1">
      <alignment horizontal="center" vertical="center" readingOrder="2"/>
    </xf>
    <xf numFmtId="0" fontId="0" fillId="16" borderId="2" xfId="0" applyFill="1" applyBorder="1" applyAlignment="1">
      <alignment horizontal="center" vertical="center"/>
    </xf>
    <xf numFmtId="167" fontId="0" fillId="16" borderId="3" xfId="1" applyNumberFormat="1" applyFont="1" applyFill="1" applyBorder="1" applyAlignment="1" applyProtection="1">
      <alignment horizontal="center" vertical="center" readingOrder="2"/>
    </xf>
    <xf numFmtId="49" fontId="0" fillId="14" borderId="3" xfId="0" applyNumberForma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66" fontId="23" fillId="7" borderId="2" xfId="0" applyNumberFormat="1" applyFont="1" applyFill="1" applyBorder="1" applyAlignment="1">
      <alignment horizontal="center" vertical="center"/>
    </xf>
    <xf numFmtId="167" fontId="23" fillId="14" borderId="2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31" fillId="11" borderId="3" xfId="0" applyNumberFormat="1" applyFont="1" applyFill="1" applyBorder="1" applyAlignment="1">
      <alignment horizontal="center" vertical="center"/>
    </xf>
    <xf numFmtId="166" fontId="31" fillId="7" borderId="2" xfId="0" applyNumberFormat="1" applyFont="1" applyFill="1" applyBorder="1" applyAlignment="1">
      <alignment horizontal="center" vertical="center"/>
    </xf>
    <xf numFmtId="167" fontId="31" fillId="14" borderId="2" xfId="0" applyNumberFormat="1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49" fontId="0" fillId="14" borderId="2" xfId="0" applyNumberFormat="1" applyFill="1" applyBorder="1" applyAlignment="1">
      <alignment horizontal="center" vertical="center"/>
    </xf>
    <xf numFmtId="167" fontId="0" fillId="0" borderId="3" xfId="1" applyNumberFormat="1" applyFont="1" applyFill="1" applyBorder="1" applyAlignment="1" applyProtection="1">
      <alignment horizontal="center" vertical="center" readingOrder="2"/>
    </xf>
    <xf numFmtId="49" fontId="0" fillId="17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167" fontId="28" fillId="14" borderId="3" xfId="1" applyNumberFormat="1" applyFont="1" applyFill="1" applyBorder="1" applyAlignment="1" applyProtection="1">
      <alignment horizontal="center" vertical="center" readingOrder="2"/>
    </xf>
    <xf numFmtId="167" fontId="0" fillId="14" borderId="2" xfId="1" applyNumberFormat="1" applyFont="1" applyFill="1" applyBorder="1" applyAlignment="1" applyProtection="1">
      <alignment horizontal="center" vertical="center" readingOrder="2"/>
    </xf>
    <xf numFmtId="1" fontId="35" fillId="11" borderId="3" xfId="0" applyNumberFormat="1" applyFont="1" applyFill="1" applyBorder="1" applyAlignment="1">
      <alignment horizontal="center" vertical="center"/>
    </xf>
    <xf numFmtId="49" fontId="0" fillId="16" borderId="2" xfId="0" applyNumberFormat="1" applyFill="1" applyBorder="1" applyAlignment="1">
      <alignment horizontal="center" vertical="center"/>
    </xf>
    <xf numFmtId="49" fontId="0" fillId="18" borderId="2" xfId="0" applyNumberFormat="1" applyFill="1" applyBorder="1" applyAlignment="1">
      <alignment horizontal="center" vertical="center"/>
    </xf>
    <xf numFmtId="49" fontId="23" fillId="7" borderId="2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23" fillId="7" borderId="3" xfId="0" applyFon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19" borderId="2" xfId="0" applyNumberFormat="1" applyFill="1" applyBorder="1" applyAlignment="1">
      <alignment horizontal="center" vertical="center"/>
    </xf>
    <xf numFmtId="49" fontId="0" fillId="20" borderId="2" xfId="0" applyNumberForma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26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8" fontId="0" fillId="0" borderId="0" xfId="2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vertical="center"/>
    </xf>
    <xf numFmtId="49" fontId="22" fillId="3" borderId="3" xfId="0" applyNumberFormat="1" applyFont="1" applyFill="1" applyBorder="1" applyAlignment="1">
      <alignment horizontal="center" vertical="center"/>
    </xf>
    <xf numFmtId="166" fontId="21" fillId="3" borderId="3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49" fontId="33" fillId="10" borderId="3" xfId="0" applyNumberFormat="1" applyFont="1" applyFill="1" applyBorder="1" applyAlignment="1">
      <alignment horizontal="center" vertical="center"/>
    </xf>
    <xf numFmtId="0" fontId="33" fillId="11" borderId="3" xfId="0" applyFont="1" applyFill="1" applyBorder="1" applyAlignment="1">
      <alignment horizontal="center" vertical="center"/>
    </xf>
    <xf numFmtId="49" fontId="33" fillId="10" borderId="14" xfId="0" applyNumberFormat="1" applyFont="1" applyFill="1" applyBorder="1" applyAlignment="1">
      <alignment horizontal="center" vertical="center"/>
    </xf>
    <xf numFmtId="0" fontId="33" fillId="10" borderId="14" xfId="0" applyFont="1" applyFill="1" applyBorder="1" applyAlignment="1">
      <alignment horizontal="center" vertical="center"/>
    </xf>
    <xf numFmtId="0" fontId="33" fillId="11" borderId="14" xfId="0" applyFont="1" applyFill="1" applyBorder="1" applyAlignment="1">
      <alignment horizontal="center" vertical="center"/>
    </xf>
    <xf numFmtId="0" fontId="32" fillId="10" borderId="3" xfId="0" applyFont="1" applyFill="1" applyBorder="1" applyAlignment="1">
      <alignment horizontal="center" vertical="center"/>
    </xf>
    <xf numFmtId="0" fontId="32" fillId="10" borderId="14" xfId="0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166" fontId="25" fillId="6" borderId="2" xfId="0" applyNumberFormat="1" applyFont="1" applyFill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66" fontId="24" fillId="21" borderId="2" xfId="0" applyNumberFormat="1" applyFont="1" applyFill="1" applyBorder="1" applyAlignment="1">
      <alignment horizontal="center" vertical="center" readingOrder="1"/>
    </xf>
    <xf numFmtId="49" fontId="35" fillId="7" borderId="2" xfId="0" applyNumberFormat="1" applyFont="1" applyFill="1" applyBorder="1" applyAlignment="1">
      <alignment horizontal="center"/>
    </xf>
    <xf numFmtId="49" fontId="26" fillId="4" borderId="3" xfId="0" applyNumberFormat="1" applyFont="1" applyFill="1" applyBorder="1" applyAlignment="1">
      <alignment horizontal="center" vertical="center"/>
    </xf>
    <xf numFmtId="49" fontId="26" fillId="4" borderId="13" xfId="0" applyNumberFormat="1" applyFont="1" applyFill="1" applyBorder="1" applyAlignment="1">
      <alignment horizontal="center" vertical="center"/>
    </xf>
    <xf numFmtId="49" fontId="43" fillId="7" borderId="2" xfId="0" applyNumberFormat="1" applyFont="1" applyFill="1" applyBorder="1" applyAlignment="1">
      <alignment horizontal="center" vertical="center"/>
    </xf>
    <xf numFmtId="166" fontId="24" fillId="0" borderId="2" xfId="0" applyNumberFormat="1" applyFont="1" applyBorder="1" applyAlignment="1">
      <alignment horizontal="center" vertical="center" readingOrder="1"/>
    </xf>
    <xf numFmtId="166" fontId="21" fillId="3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Border="1"/>
    <xf numFmtId="167" fontId="44" fillId="0" borderId="2" xfId="0" applyNumberFormat="1" applyFont="1" applyBorder="1"/>
    <xf numFmtId="166" fontId="24" fillId="0" borderId="3" xfId="0" applyNumberFormat="1" applyFont="1" applyBorder="1" applyAlignment="1">
      <alignment horizontal="center" vertical="center" readingOrder="2"/>
    </xf>
    <xf numFmtId="0" fontId="39" fillId="0" borderId="2" xfId="0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/>
    </xf>
    <xf numFmtId="167" fontId="46" fillId="24" borderId="2" xfId="0" applyNumberFormat="1" applyFont="1" applyFill="1" applyBorder="1" applyAlignment="1">
      <alignment vertical="center" readingOrder="1"/>
    </xf>
    <xf numFmtId="0" fontId="47" fillId="5" borderId="2" xfId="0" applyFont="1" applyFill="1" applyBorder="1" applyAlignment="1">
      <alignment horizontal="center" vertical="center" readingOrder="2"/>
    </xf>
    <xf numFmtId="0" fontId="22" fillId="5" borderId="2" xfId="0" applyFont="1" applyFill="1" applyBorder="1" applyAlignment="1">
      <alignment horizontal="center" vertical="center" readingOrder="2"/>
    </xf>
    <xf numFmtId="0" fontId="24" fillId="0" borderId="2" xfId="0" applyFont="1" applyBorder="1" applyAlignment="1">
      <alignment horizontal="center" vertical="center" readingOrder="1"/>
    </xf>
    <xf numFmtId="14" fontId="24" fillId="0" borderId="2" xfId="0" applyNumberFormat="1" applyFont="1" applyBorder="1" applyAlignment="1">
      <alignment horizontal="center" vertical="center" readingOrder="2"/>
    </xf>
    <xf numFmtId="0" fontId="24" fillId="0" borderId="2" xfId="0" applyFont="1" applyBorder="1" applyAlignment="1">
      <alignment horizontal="center" vertical="center" readingOrder="2"/>
    </xf>
    <xf numFmtId="167" fontId="24" fillId="0" borderId="2" xfId="0" applyNumberFormat="1" applyFont="1" applyBorder="1" applyAlignment="1">
      <alignment horizontal="center" vertical="center" readingOrder="1"/>
    </xf>
    <xf numFmtId="14" fontId="24" fillId="0" borderId="2" xfId="0" applyNumberFormat="1" applyFont="1" applyBorder="1" applyAlignment="1">
      <alignment horizontal="center" vertical="center" readingOrder="1"/>
    </xf>
    <xf numFmtId="0" fontId="0" fillId="4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39" fillId="10" borderId="2" xfId="0" applyFont="1" applyFill="1" applyBorder="1" applyAlignment="1">
      <alignment horizontal="center" vertical="center"/>
    </xf>
    <xf numFmtId="166" fontId="0" fillId="0" borderId="0" xfId="0" applyNumberFormat="1" applyAlignment="1">
      <alignment vertical="center"/>
    </xf>
    <xf numFmtId="166" fontId="0" fillId="10" borderId="5" xfId="0" applyNumberFormat="1" applyFill="1" applyBorder="1" applyAlignment="1">
      <alignment horizontal="center" vertical="center"/>
    </xf>
    <xf numFmtId="166" fontId="21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6" fontId="21" fillId="3" borderId="14" xfId="0" applyNumberFormat="1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167" fontId="21" fillId="3" borderId="3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167" fontId="0" fillId="0" borderId="2" xfId="0" applyNumberFormat="1" applyBorder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167" fontId="0" fillId="0" borderId="0" xfId="0" applyNumberFormat="1"/>
    <xf numFmtId="0" fontId="0" fillId="0" borderId="2" xfId="0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7" borderId="2" xfId="0" applyFill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49" fontId="23" fillId="15" borderId="2" xfId="0" applyNumberFormat="1" applyFont="1" applyFill="1" applyBorder="1" applyAlignment="1">
      <alignment horizontal="center" vertical="center"/>
    </xf>
    <xf numFmtId="166" fontId="21" fillId="0" borderId="2" xfId="0" applyNumberFormat="1" applyFont="1" applyBorder="1" applyAlignment="1">
      <alignment horizontal="center" vertical="center"/>
    </xf>
    <xf numFmtId="49" fontId="26" fillId="4" borderId="2" xfId="0" applyNumberFormat="1" applyFont="1" applyFill="1" applyBorder="1" applyAlignment="1">
      <alignment horizontal="center" vertical="center"/>
    </xf>
    <xf numFmtId="49" fontId="22" fillId="3" borderId="2" xfId="0" applyNumberFormat="1" applyFont="1" applyFill="1" applyBorder="1" applyAlignment="1">
      <alignment horizontal="center" vertical="center"/>
    </xf>
    <xf numFmtId="167" fontId="0" fillId="0" borderId="5" xfId="0" applyNumberFormat="1" applyBorder="1" applyAlignment="1">
      <alignment horizontal="center"/>
    </xf>
    <xf numFmtId="167" fontId="46" fillId="24" borderId="2" xfId="0" applyNumberFormat="1" applyFont="1" applyFill="1" applyBorder="1" applyAlignment="1">
      <alignment horizontal="center" vertical="center" readingOrder="1"/>
    </xf>
    <xf numFmtId="0" fontId="19" fillId="28" borderId="2" xfId="5" applyBorder="1" applyAlignment="1">
      <alignment horizontal="center" vertical="center"/>
    </xf>
    <xf numFmtId="49" fontId="26" fillId="4" borderId="12" xfId="0" applyNumberFormat="1" applyFont="1" applyFill="1" applyBorder="1" applyAlignment="1">
      <alignment horizontal="center" vertical="center"/>
    </xf>
    <xf numFmtId="0" fontId="18" fillId="30" borderId="2" xfId="7" applyBorder="1" applyAlignment="1">
      <alignment horizontal="center" vertical="center"/>
    </xf>
    <xf numFmtId="0" fontId="25" fillId="0" borderId="2" xfId="0" applyFont="1" applyBorder="1" applyAlignment="1">
      <alignment horizontal="center" vertical="center" wrapText="1"/>
    </xf>
    <xf numFmtId="1" fontId="0" fillId="11" borderId="3" xfId="0" applyNumberFormat="1" applyFill="1" applyBorder="1" applyAlignment="1">
      <alignment horizontal="center" vertical="center" wrapText="1"/>
    </xf>
    <xf numFmtId="166" fontId="0" fillId="7" borderId="3" xfId="0" applyNumberFormat="1" applyFill="1" applyBorder="1" applyAlignment="1">
      <alignment horizontal="center" vertical="center" wrapText="1"/>
    </xf>
    <xf numFmtId="167" fontId="0" fillId="14" borderId="3" xfId="1" applyNumberFormat="1" applyFont="1" applyFill="1" applyBorder="1" applyAlignment="1" applyProtection="1">
      <alignment horizontal="center" vertical="center" wrapText="1" readingOrder="2"/>
    </xf>
    <xf numFmtId="49" fontId="29" fillId="8" borderId="2" xfId="3" applyNumberFormat="1" applyBorder="1" applyAlignment="1">
      <alignment horizontal="center" vertical="center"/>
    </xf>
    <xf numFmtId="0" fontId="29" fillId="8" borderId="2" xfId="3" applyBorder="1" applyAlignment="1">
      <alignment horizontal="center" vertical="center"/>
    </xf>
    <xf numFmtId="1" fontId="43" fillId="11" borderId="3" xfId="0" applyNumberFormat="1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 readingOrder="2"/>
    </xf>
    <xf numFmtId="167" fontId="0" fillId="17" borderId="2" xfId="0" applyNumberFormat="1" applyFill="1" applyBorder="1"/>
    <xf numFmtId="49" fontId="23" fillId="0" borderId="2" xfId="8" applyNumberFormat="1" applyFont="1" applyFill="1" applyBorder="1" applyAlignment="1">
      <alignment horizontal="center" vertical="center"/>
    </xf>
    <xf numFmtId="0" fontId="16" fillId="33" borderId="2" xfId="10" applyBorder="1" applyAlignment="1">
      <alignment horizontal="center" vertical="center"/>
    </xf>
    <xf numFmtId="49" fontId="24" fillId="21" borderId="2" xfId="0" applyNumberFormat="1" applyFont="1" applyFill="1" applyBorder="1" applyAlignment="1">
      <alignment horizontal="center" readingOrder="2"/>
    </xf>
    <xf numFmtId="0" fontId="51" fillId="0" borderId="2" xfId="0" applyFont="1" applyBorder="1" applyAlignment="1">
      <alignment horizontal="center" vertical="center"/>
    </xf>
    <xf numFmtId="49" fontId="53" fillId="0" borderId="2" xfId="11" applyNumberFormat="1" applyBorder="1" applyAlignment="1">
      <alignment horizontal="center" vertical="center"/>
    </xf>
    <xf numFmtId="49" fontId="29" fillId="0" borderId="2" xfId="3" applyNumberFormat="1" applyFill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167" fontId="44" fillId="0" borderId="0" xfId="0" applyNumberFormat="1" applyFont="1"/>
    <xf numFmtId="167" fontId="31" fillId="0" borderId="0" xfId="0" applyNumberFormat="1" applyFont="1"/>
    <xf numFmtId="0" fontId="56" fillId="0" borderId="2" xfId="0" applyFont="1" applyBorder="1" applyAlignment="1">
      <alignment horizontal="center" vertical="center" readingOrder="1"/>
    </xf>
    <xf numFmtId="0" fontId="18" fillId="30" borderId="0" xfId="7" applyBorder="1" applyAlignment="1">
      <alignment horizontal="center" vertical="center"/>
    </xf>
    <xf numFmtId="166" fontId="39" fillId="0" borderId="2" xfId="0" applyNumberFormat="1" applyFont="1" applyBorder="1" applyAlignment="1">
      <alignment horizontal="center" vertical="center"/>
    </xf>
    <xf numFmtId="0" fontId="0" fillId="0" borderId="15" xfId="0" applyBorder="1"/>
    <xf numFmtId="0" fontId="43" fillId="0" borderId="0" xfId="0" applyFont="1" applyAlignment="1">
      <alignment horizontal="center" vertical="center"/>
    </xf>
    <xf numFmtId="0" fontId="17" fillId="32" borderId="2" xfId="9" applyBorder="1" applyAlignment="1">
      <alignment horizontal="center" vertical="center"/>
    </xf>
    <xf numFmtId="42" fontId="0" fillId="0" borderId="0" xfId="0" applyNumberFormat="1" applyAlignment="1">
      <alignment vertical="center"/>
    </xf>
    <xf numFmtId="0" fontId="17" fillId="0" borderId="0" xfId="9" applyFill="1" applyBorder="1" applyAlignment="1"/>
    <xf numFmtId="42" fontId="19" fillId="0" borderId="0" xfId="6" applyNumberFormat="1" applyFill="1" applyBorder="1" applyAlignment="1">
      <alignment vertical="center"/>
    </xf>
    <xf numFmtId="167" fontId="0" fillId="0" borderId="2" xfId="0" applyNumberFormat="1" applyBorder="1" applyAlignment="1">
      <alignment horizontal="center" vertical="center"/>
    </xf>
    <xf numFmtId="42" fontId="0" fillId="10" borderId="2" xfId="0" applyNumberFormat="1" applyFill="1" applyBorder="1" applyAlignment="1">
      <alignment horizontal="center" vertical="center"/>
    </xf>
    <xf numFmtId="42" fontId="0" fillId="0" borderId="2" xfId="0" applyNumberFormat="1" applyBorder="1" applyAlignment="1">
      <alignment horizontal="center" vertical="center"/>
    </xf>
    <xf numFmtId="0" fontId="14" fillId="33" borderId="2" xfId="10" applyFont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2" fontId="0" fillId="10" borderId="7" xfId="0" applyNumberFormat="1" applyFill="1" applyBorder="1" applyAlignment="1">
      <alignment horizontal="center" vertical="center"/>
    </xf>
    <xf numFmtId="42" fontId="17" fillId="32" borderId="2" xfId="9" applyNumberFormat="1" applyBorder="1" applyAlignment="1">
      <alignment horizontal="center" vertical="center"/>
    </xf>
    <xf numFmtId="0" fontId="14" fillId="28" borderId="2" xfId="5" applyFont="1" applyBorder="1" applyAlignment="1">
      <alignment horizontal="center" vertical="center"/>
    </xf>
    <xf numFmtId="0" fontId="13" fillId="33" borderId="2" xfId="10" applyFont="1" applyBorder="1" applyAlignment="1">
      <alignment horizontal="center" vertical="center"/>
    </xf>
    <xf numFmtId="0" fontId="13" fillId="32" borderId="2" xfId="9" applyFont="1" applyBorder="1" applyAlignment="1">
      <alignment horizontal="center" vertical="center"/>
    </xf>
    <xf numFmtId="42" fontId="0" fillId="4" borderId="2" xfId="0" applyNumberFormat="1" applyFill="1" applyBorder="1" applyAlignment="1">
      <alignment horizontal="center" vertical="center"/>
    </xf>
    <xf numFmtId="0" fontId="17" fillId="32" borderId="0" xfId="9" applyBorder="1" applyAlignment="1">
      <alignment horizontal="center" vertical="center"/>
    </xf>
    <xf numFmtId="42" fontId="17" fillId="32" borderId="0" xfId="9" applyNumberFormat="1"/>
    <xf numFmtId="0" fontId="12" fillId="28" borderId="2" xfId="5" applyFont="1" applyBorder="1" applyAlignment="1">
      <alignment horizontal="center" vertical="center"/>
    </xf>
    <xf numFmtId="0" fontId="11" fillId="32" borderId="2" xfId="9" applyFont="1" applyBorder="1" applyAlignment="1">
      <alignment horizontal="center"/>
    </xf>
    <xf numFmtId="0" fontId="11" fillId="36" borderId="2" xfId="15" applyBorder="1" applyAlignment="1">
      <alignment horizontal="center" vertical="center"/>
    </xf>
    <xf numFmtId="0" fontId="15" fillId="34" borderId="10" xfId="13" applyBorder="1" applyAlignment="1">
      <alignment horizontal="center" vertical="center"/>
    </xf>
    <xf numFmtId="42" fontId="59" fillId="35" borderId="18" xfId="14" applyNumberFormat="1" applyFill="1" applyAlignment="1">
      <alignment horizontal="center" vertical="center"/>
    </xf>
    <xf numFmtId="42" fontId="60" fillId="4" borderId="12" xfId="0" applyNumberFormat="1" applyFont="1" applyFill="1" applyBorder="1" applyAlignment="1">
      <alignment horizontal="center" vertical="center"/>
    </xf>
    <xf numFmtId="42" fontId="62" fillId="34" borderId="2" xfId="11" applyNumberFormat="1" applyFont="1" applyFill="1" applyBorder="1" applyAlignment="1">
      <alignment horizontal="center" vertical="center"/>
    </xf>
    <xf numFmtId="0" fontId="11" fillId="33" borderId="2" xfId="10" applyFont="1" applyBorder="1" applyAlignment="1">
      <alignment horizontal="center" vertical="center"/>
    </xf>
    <xf numFmtId="0" fontId="10" fillId="34" borderId="10" xfId="13" applyFont="1" applyBorder="1" applyAlignment="1">
      <alignment horizontal="center" vertical="center"/>
    </xf>
    <xf numFmtId="42" fontId="18" fillId="30" borderId="0" xfId="7" applyNumberFormat="1"/>
    <xf numFmtId="42" fontId="11" fillId="36" borderId="0" xfId="15" applyNumberFormat="1"/>
    <xf numFmtId="0" fontId="9" fillId="28" borderId="2" xfId="5" applyFont="1" applyBorder="1" applyAlignment="1">
      <alignment horizontal="center" vertical="center"/>
    </xf>
    <xf numFmtId="0" fontId="8" fillId="0" borderId="2" xfId="7" applyFont="1" applyFill="1" applyBorder="1" applyAlignment="1">
      <alignment horizontal="center" vertical="center"/>
    </xf>
    <xf numFmtId="42" fontId="0" fillId="0" borderId="0" xfId="0" applyNumberFormat="1" applyAlignment="1">
      <alignment horizontal="center" vertical="center"/>
    </xf>
    <xf numFmtId="42" fontId="0" fillId="0" borderId="0" xfId="0" applyNumberFormat="1"/>
    <xf numFmtId="0" fontId="17" fillId="32" borderId="0" xfId="9"/>
    <xf numFmtId="0" fontId="7" fillId="30" borderId="0" xfId="7" applyFont="1"/>
    <xf numFmtId="167" fontId="39" fillId="0" borderId="2" xfId="0" applyNumberFormat="1" applyFont="1" applyBorder="1"/>
    <xf numFmtId="14" fontId="0" fillId="0" borderId="0" xfId="0" applyNumberFormat="1"/>
    <xf numFmtId="0" fontId="35" fillId="0" borderId="2" xfId="0" applyFont="1" applyBorder="1" applyAlignment="1">
      <alignment horizontal="center" vertical="center"/>
    </xf>
    <xf numFmtId="49" fontId="43" fillId="7" borderId="2" xfId="0" applyNumberFormat="1" applyFont="1" applyFill="1" applyBorder="1" applyAlignment="1">
      <alignment horizontal="center"/>
    </xf>
    <xf numFmtId="42" fontId="24" fillId="0" borderId="2" xfId="0" applyNumberFormat="1" applyFont="1" applyBorder="1" applyAlignment="1">
      <alignment horizontal="center" vertical="center" readingOrder="1"/>
    </xf>
    <xf numFmtId="0" fontId="15" fillId="34" borderId="2" xfId="1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7" fontId="16" fillId="33" borderId="13" xfId="10" applyNumberFormat="1" applyBorder="1" applyAlignment="1">
      <alignment horizontal="center" vertical="center"/>
    </xf>
    <xf numFmtId="167" fontId="16" fillId="33" borderId="2" xfId="10" applyNumberFormat="1" applyBorder="1" applyAlignment="1">
      <alignment horizontal="center" vertical="center"/>
    </xf>
    <xf numFmtId="167" fontId="17" fillId="32" borderId="2" xfId="9" applyNumberFormat="1" applyBorder="1" applyAlignment="1">
      <alignment vertical="center"/>
    </xf>
    <xf numFmtId="0" fontId="6" fillId="34" borderId="2" xfId="13" applyFont="1" applyBorder="1" applyAlignment="1">
      <alignment horizontal="center" vertical="center"/>
    </xf>
    <xf numFmtId="49" fontId="39" fillId="7" borderId="2" xfId="0" applyNumberFormat="1" applyFont="1" applyFill="1" applyBorder="1" applyAlignment="1">
      <alignment horizontal="center"/>
    </xf>
    <xf numFmtId="0" fontId="5" fillId="34" borderId="2" xfId="13" applyFont="1" applyBorder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66" fillId="8" borderId="2" xfId="3" applyFont="1" applyBorder="1" applyAlignment="1">
      <alignment horizontal="center" vertical="center"/>
    </xf>
    <xf numFmtId="167" fontId="29" fillId="8" borderId="2" xfId="3" applyNumberFormat="1" applyBorder="1" applyAlignment="1">
      <alignment horizontal="center" vertical="center" readingOrder="1"/>
    </xf>
    <xf numFmtId="0" fontId="10" fillId="0" borderId="0" xfId="13" applyFont="1" applyFill="1" applyBorder="1" applyAlignment="1">
      <alignment horizontal="center" vertical="center"/>
    </xf>
    <xf numFmtId="42" fontId="18" fillId="0" borderId="0" xfId="7" applyNumberFormat="1" applyFill="1" applyBorder="1"/>
    <xf numFmtId="14" fontId="0" fillId="4" borderId="2" xfId="0" applyNumberFormat="1" applyFill="1" applyBorder="1" applyAlignment="1">
      <alignment horizontal="center"/>
    </xf>
    <xf numFmtId="0" fontId="57" fillId="0" borderId="17" xfId="12" applyAlignment="1">
      <alignment horizontal="center" vertical="center"/>
    </xf>
    <xf numFmtId="0" fontId="4" fillId="34" borderId="2" xfId="13" applyFont="1" applyBorder="1" applyAlignment="1">
      <alignment horizontal="center" vertical="center"/>
    </xf>
    <xf numFmtId="167" fontId="67" fillId="0" borderId="2" xfId="0" applyNumberFormat="1" applyFont="1" applyBorder="1"/>
    <xf numFmtId="0" fontId="3" fillId="34" borderId="2" xfId="13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33" borderId="2" xfId="1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0" fillId="0" borderId="7" xfId="0" applyBorder="1"/>
    <xf numFmtId="49" fontId="18" fillId="30" borderId="2" xfId="7" applyNumberFormat="1" applyBorder="1" applyAlignment="1">
      <alignment horizontal="center" vertical="center"/>
    </xf>
    <xf numFmtId="166" fontId="18" fillId="30" borderId="2" xfId="7" applyNumberFormat="1" applyBorder="1" applyAlignment="1">
      <alignment horizontal="center" vertical="center"/>
    </xf>
    <xf numFmtId="0" fontId="18" fillId="30" borderId="2" xfId="7" applyBorder="1" applyAlignment="1">
      <alignment horizontal="center" vertical="center" readingOrder="1"/>
    </xf>
    <xf numFmtId="167" fontId="18" fillId="30" borderId="2" xfId="7" applyNumberFormat="1" applyBorder="1"/>
    <xf numFmtId="167" fontId="18" fillId="0" borderId="2" xfId="7" applyNumberFormat="1" applyFill="1" applyBorder="1"/>
    <xf numFmtId="0" fontId="23" fillId="0" borderId="2" xfId="16" applyFont="1" applyAlignment="1">
      <alignment horizontal="center" vertical="center"/>
    </xf>
    <xf numFmtId="0" fontId="0" fillId="37" borderId="2" xfId="0" applyFill="1" applyBorder="1" applyAlignment="1">
      <alignment horizontal="center" vertical="center"/>
    </xf>
    <xf numFmtId="0" fontId="23" fillId="37" borderId="2" xfId="16" applyFont="1" applyFill="1" applyAlignment="1">
      <alignment horizontal="center" vertical="center"/>
    </xf>
    <xf numFmtId="0" fontId="2" fillId="28" borderId="2" xfId="5" applyFont="1" applyBorder="1" applyAlignment="1">
      <alignment horizontal="center" vertical="center"/>
    </xf>
    <xf numFmtId="0" fontId="33" fillId="10" borderId="2" xfId="0" applyFont="1" applyFill="1" applyBorder="1" applyAlignment="1">
      <alignment horizontal="center" vertical="center"/>
    </xf>
    <xf numFmtId="0" fontId="33" fillId="10" borderId="1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166" fontId="0" fillId="27" borderId="1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7" borderId="5" xfId="0" applyNumberFormat="1" applyFill="1" applyBorder="1" applyAlignment="1">
      <alignment horizontal="center" vertical="center"/>
    </xf>
    <xf numFmtId="166" fontId="0" fillId="7" borderId="7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0" fillId="34" borderId="2" xfId="13" applyFont="1" applyBorder="1" applyAlignment="1">
      <alignment horizontal="center" vertical="center"/>
    </xf>
    <xf numFmtId="0" fontId="15" fillId="34" borderId="2" xfId="13" applyBorder="1" applyAlignment="1">
      <alignment horizontal="center" vertical="center"/>
    </xf>
    <xf numFmtId="0" fontId="61" fillId="34" borderId="2" xfId="13" applyFont="1" applyBorder="1" applyAlignment="1">
      <alignment horizontal="center" vertical="center"/>
    </xf>
    <xf numFmtId="0" fontId="11" fillId="34" borderId="0" xfId="13" applyFont="1" applyAlignment="1">
      <alignment horizontal="center"/>
    </xf>
    <xf numFmtId="0" fontId="15" fillId="34" borderId="0" xfId="13" applyAlignment="1">
      <alignment horizontal="center"/>
    </xf>
    <xf numFmtId="42" fontId="60" fillId="29" borderId="1" xfId="6" applyNumberFormat="1" applyFont="1" applyBorder="1" applyAlignment="1">
      <alignment horizontal="center"/>
    </xf>
    <xf numFmtId="0" fontId="46" fillId="25" borderId="2" xfId="0" applyFont="1" applyFill="1" applyBorder="1" applyAlignment="1">
      <alignment horizontal="center" vertical="center" readingOrder="2"/>
    </xf>
    <xf numFmtId="0" fontId="45" fillId="25" borderId="2" xfId="0" applyFont="1" applyFill="1" applyBorder="1" applyAlignment="1">
      <alignment horizontal="center" vertical="center" readingOrder="2"/>
    </xf>
    <xf numFmtId="166" fontId="24" fillId="0" borderId="0" xfId="0" applyNumberFormat="1" applyFont="1" applyAlignment="1">
      <alignment horizontal="center" vertical="center" readingOrder="2"/>
    </xf>
    <xf numFmtId="0" fontId="31" fillId="0" borderId="2" xfId="0" applyFont="1" applyBorder="1" applyAlignment="1">
      <alignment horizontal="center"/>
    </xf>
    <xf numFmtId="0" fontId="52" fillId="29" borderId="8" xfId="6" applyFont="1" applyBorder="1" applyAlignment="1">
      <alignment horizontal="center" vertical="center"/>
    </xf>
    <xf numFmtId="0" fontId="19" fillId="29" borderId="9" xfId="6" applyBorder="1" applyAlignment="1">
      <alignment horizontal="center" vertical="center"/>
    </xf>
    <xf numFmtId="0" fontId="19" fillId="29" borderId="10" xfId="6" applyBorder="1" applyAlignment="1">
      <alignment horizontal="center" vertical="center"/>
    </xf>
    <xf numFmtId="0" fontId="19" fillId="29" borderId="11" xfId="6" applyBorder="1" applyAlignment="1">
      <alignment horizontal="center" vertical="center"/>
    </xf>
    <xf numFmtId="0" fontId="19" fillId="29" borderId="1" xfId="6" applyBorder="1" applyAlignment="1">
      <alignment horizontal="center" vertical="center"/>
    </xf>
    <xf numFmtId="0" fontId="19" fillId="29" borderId="12" xfId="6" applyBorder="1" applyAlignment="1">
      <alignment horizontal="center" vertical="center"/>
    </xf>
    <xf numFmtId="0" fontId="19" fillId="29" borderId="8" xfId="6" applyBorder="1" applyAlignment="1">
      <alignment horizontal="center" vertical="center"/>
    </xf>
    <xf numFmtId="167" fontId="19" fillId="29" borderId="13" xfId="6" applyNumberFormat="1" applyBorder="1" applyAlignment="1">
      <alignment horizontal="center" vertical="center"/>
    </xf>
    <xf numFmtId="167" fontId="19" fillId="29" borderId="3" xfId="6" applyNumberFormat="1" applyBorder="1" applyAlignment="1">
      <alignment horizontal="center" vertical="center"/>
    </xf>
    <xf numFmtId="0" fontId="54" fillId="29" borderId="8" xfId="6" applyFont="1" applyBorder="1" applyAlignment="1">
      <alignment horizontal="center" vertical="center"/>
    </xf>
    <xf numFmtId="0" fontId="55" fillId="29" borderId="9" xfId="6" applyFont="1" applyBorder="1" applyAlignment="1">
      <alignment horizontal="center" vertical="center"/>
    </xf>
    <xf numFmtId="0" fontId="55" fillId="29" borderId="10" xfId="6" applyFont="1" applyBorder="1" applyAlignment="1">
      <alignment horizontal="center" vertical="center"/>
    </xf>
    <xf numFmtId="0" fontId="55" fillId="29" borderId="11" xfId="6" applyFont="1" applyBorder="1" applyAlignment="1">
      <alignment horizontal="center" vertical="center"/>
    </xf>
    <xf numFmtId="0" fontId="55" fillId="29" borderId="1" xfId="6" applyFont="1" applyBorder="1" applyAlignment="1">
      <alignment horizontal="center" vertical="center"/>
    </xf>
    <xf numFmtId="0" fontId="55" fillId="29" borderId="12" xfId="6" applyFont="1" applyBorder="1" applyAlignment="1">
      <alignment horizontal="center" vertical="center"/>
    </xf>
    <xf numFmtId="166" fontId="24" fillId="5" borderId="2" xfId="0" applyNumberFormat="1" applyFont="1" applyFill="1" applyBorder="1" applyAlignment="1">
      <alignment horizontal="center" vertical="center" readingOrder="2"/>
    </xf>
    <xf numFmtId="0" fontId="58" fillId="22" borderId="1" xfId="0" applyFont="1" applyFill="1" applyBorder="1" applyAlignment="1">
      <alignment horizontal="center"/>
    </xf>
    <xf numFmtId="167" fontId="0" fillId="0" borderId="13" xfId="0" applyNumberForma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6" fontId="21" fillId="26" borderId="2" xfId="0" applyNumberFormat="1" applyFont="1" applyFill="1" applyBorder="1" applyAlignment="1">
      <alignment horizontal="center" vertical="center"/>
    </xf>
    <xf numFmtId="0" fontId="6" fillId="28" borderId="2" xfId="5" applyFont="1" applyBorder="1" applyAlignment="1">
      <alignment horizontal="center" vertical="center"/>
    </xf>
    <xf numFmtId="0" fontId="19" fillId="28" borderId="2" xfId="5" applyBorder="1" applyAlignment="1">
      <alignment horizontal="center" vertical="center"/>
    </xf>
    <xf numFmtId="0" fontId="16" fillId="33" borderId="5" xfId="10" applyBorder="1" applyAlignment="1">
      <alignment horizontal="center" vertical="center"/>
    </xf>
    <xf numFmtId="0" fontId="16" fillId="33" borderId="7" xfId="10" applyBorder="1" applyAlignment="1">
      <alignment horizontal="center" vertical="center"/>
    </xf>
    <xf numFmtId="0" fontId="17" fillId="32" borderId="5" xfId="9" applyBorder="1" applyAlignment="1">
      <alignment horizontal="center" vertical="center"/>
    </xf>
    <xf numFmtId="0" fontId="17" fillId="32" borderId="7" xfId="9" applyBorder="1" applyAlignment="1">
      <alignment horizontal="center" vertical="center"/>
    </xf>
    <xf numFmtId="166" fontId="58" fillId="22" borderId="1" xfId="0" applyNumberFormat="1" applyFont="1" applyFill="1" applyBorder="1" applyAlignment="1">
      <alignment horizontal="center"/>
    </xf>
    <xf numFmtId="0" fontId="33" fillId="22" borderId="8" xfId="0" applyFont="1" applyFill="1" applyBorder="1" applyAlignment="1">
      <alignment horizontal="center" vertical="center"/>
    </xf>
    <xf numFmtId="0" fontId="26" fillId="22" borderId="9" xfId="0" applyFont="1" applyFill="1" applyBorder="1" applyAlignment="1">
      <alignment horizontal="center" vertical="center"/>
    </xf>
    <xf numFmtId="0" fontId="26" fillId="22" borderId="10" xfId="0" applyFont="1" applyFill="1" applyBorder="1" applyAlignment="1">
      <alignment horizontal="center" vertical="center"/>
    </xf>
    <xf numFmtId="0" fontId="26" fillId="22" borderId="1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22" borderId="12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166" fontId="21" fillId="26" borderId="8" xfId="0" applyNumberFormat="1" applyFont="1" applyFill="1" applyBorder="1" applyAlignment="1">
      <alignment horizontal="center" vertical="center"/>
    </xf>
    <xf numFmtId="166" fontId="21" fillId="26" borderId="9" xfId="0" applyNumberFormat="1" applyFont="1" applyFill="1" applyBorder="1" applyAlignment="1">
      <alignment horizontal="center" vertical="center"/>
    </xf>
    <xf numFmtId="166" fontId="21" fillId="26" borderId="10" xfId="0" applyNumberFormat="1" applyFont="1" applyFill="1" applyBorder="1" applyAlignment="1">
      <alignment horizontal="center" vertical="center"/>
    </xf>
    <xf numFmtId="166" fontId="21" fillId="26" borderId="11" xfId="0" applyNumberFormat="1" applyFont="1" applyFill="1" applyBorder="1" applyAlignment="1">
      <alignment horizontal="center" vertical="center"/>
    </xf>
    <xf numFmtId="166" fontId="21" fillId="26" borderId="1" xfId="0" applyNumberFormat="1" applyFont="1" applyFill="1" applyBorder="1" applyAlignment="1">
      <alignment horizontal="center" vertical="center"/>
    </xf>
    <xf numFmtId="166" fontId="21" fillId="26" borderId="12" xfId="0" applyNumberFormat="1" applyFont="1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23" borderId="6" xfId="0" applyFill="1" applyBorder="1" applyAlignment="1">
      <alignment horizontal="center" vertical="center"/>
    </xf>
    <xf numFmtId="0" fontId="0" fillId="23" borderId="7" xfId="0" applyFill="1" applyBorder="1" applyAlignment="1">
      <alignment horizontal="center" vertical="center"/>
    </xf>
    <xf numFmtId="167" fontId="0" fillId="23" borderId="5" xfId="0" applyNumberFormat="1" applyFill="1" applyBorder="1" applyAlignment="1">
      <alignment horizontal="center" vertical="center"/>
    </xf>
    <xf numFmtId="167" fontId="0" fillId="23" borderId="7" xfId="0" applyNumberFormat="1" applyFill="1" applyBorder="1" applyAlignment="1">
      <alignment horizontal="center" vertical="center"/>
    </xf>
    <xf numFmtId="166" fontId="24" fillId="0" borderId="3" xfId="0" applyNumberFormat="1" applyFont="1" applyBorder="1" applyAlignment="1">
      <alignment horizontal="center" vertical="center" readingOrder="1"/>
    </xf>
    <xf numFmtId="166" fontId="18" fillId="30" borderId="2" xfId="7" applyNumberFormat="1" applyBorder="1" applyAlignment="1">
      <alignment horizontal="center" vertical="center" readingOrder="1"/>
    </xf>
    <xf numFmtId="166" fontId="18" fillId="30" borderId="3" xfId="7" applyNumberFormat="1" applyBorder="1" applyAlignment="1">
      <alignment horizontal="center" vertical="center" readingOrder="1"/>
    </xf>
    <xf numFmtId="0" fontId="69" fillId="30" borderId="2" xfId="7" applyFont="1" applyBorder="1" applyAlignment="1">
      <alignment horizontal="center" vertical="center"/>
    </xf>
    <xf numFmtId="166" fontId="0" fillId="0" borderId="2" xfId="0" applyNumberFormat="1" applyFill="1" applyBorder="1" applyAlignment="1">
      <alignment horizontal="center" vertical="center"/>
    </xf>
    <xf numFmtId="0" fontId="0" fillId="0" borderId="2" xfId="0" applyFill="1" applyBorder="1"/>
    <xf numFmtId="0" fontId="0" fillId="0" borderId="2" xfId="0" applyFill="1" applyBorder="1" applyAlignment="1">
      <alignment horizontal="center" vertical="center"/>
    </xf>
    <xf numFmtId="0" fontId="56" fillId="0" borderId="2" xfId="0" applyFont="1" applyFill="1" applyBorder="1" applyAlignment="1">
      <alignment horizontal="center" vertical="center" readingOrder="1"/>
    </xf>
    <xf numFmtId="49" fontId="0" fillId="0" borderId="2" xfId="0" applyNumberFormat="1" applyFill="1" applyBorder="1" applyAlignment="1">
      <alignment horizontal="center"/>
    </xf>
    <xf numFmtId="167" fontId="0" fillId="0" borderId="2" xfId="0" applyNumberFormat="1" applyFill="1" applyBorder="1"/>
    <xf numFmtId="0" fontId="35" fillId="0" borderId="2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/>
    </xf>
    <xf numFmtId="167" fontId="0" fillId="0" borderId="0" xfId="0" applyNumberFormat="1" applyFill="1" applyBorder="1"/>
    <xf numFmtId="0" fontId="18" fillId="30" borderId="0" xfId="7"/>
    <xf numFmtId="0" fontId="0" fillId="0" borderId="2" xfId="0" applyFont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49" fontId="26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16" fillId="33" borderId="3" xfId="10" applyBorder="1" applyAlignment="1">
      <alignment horizontal="center" vertical="center"/>
    </xf>
    <xf numFmtId="0" fontId="13" fillId="33" borderId="3" xfId="10" applyFont="1" applyBorder="1" applyAlignment="1">
      <alignment horizontal="center" vertical="center"/>
    </xf>
    <xf numFmtId="0" fontId="2" fillId="33" borderId="3" xfId="10" applyFont="1" applyBorder="1" applyAlignment="1">
      <alignment horizontal="center" vertical="center"/>
    </xf>
    <xf numFmtId="42" fontId="57" fillId="28" borderId="2" xfId="12" applyNumberFormat="1" applyFill="1" applyBorder="1" applyAlignment="1">
      <alignment horizontal="center" vertical="center"/>
    </xf>
    <xf numFmtId="0" fontId="16" fillId="33" borderId="2" xfId="10" applyBorder="1" applyAlignment="1">
      <alignment horizontal="center" vertical="center"/>
    </xf>
    <xf numFmtId="42" fontId="17" fillId="32" borderId="19" xfId="9" applyNumberFormat="1" applyBorder="1" applyAlignment="1">
      <alignment horizontal="center" vertical="center"/>
    </xf>
    <xf numFmtId="0" fontId="1" fillId="33" borderId="10" xfId="10" applyFont="1" applyBorder="1" applyAlignment="1">
      <alignment horizontal="center" vertical="center"/>
    </xf>
    <xf numFmtId="0" fontId="1" fillId="33" borderId="2" xfId="10" applyFont="1" applyBorder="1" applyAlignment="1">
      <alignment horizontal="center" vertical="center"/>
    </xf>
  </cellXfs>
  <cellStyles count="17">
    <cellStyle name="20% - Accent3" xfId="10" builtinId="38"/>
    <cellStyle name="20% - Accent4" xfId="9" builtinId="42"/>
    <cellStyle name="20% - Accent5" xfId="5" builtinId="46"/>
    <cellStyle name="20% - Accent6" xfId="7" builtinId="50"/>
    <cellStyle name="40% - Accent1" xfId="13" builtinId="31"/>
    <cellStyle name="40% - Accent5" xfId="6" builtinId="47"/>
    <cellStyle name="40% - Accent6" xfId="15" builtinId="51"/>
    <cellStyle name="Comma" xfId="1" builtinId="3"/>
    <cellStyle name="Currency" xfId="2" builtinId="4"/>
    <cellStyle name="Good" xfId="3" builtinId="26"/>
    <cellStyle name="Heading 1" xfId="12" builtinId="16"/>
    <cellStyle name="Heading 2" xfId="14" builtinId="17"/>
    <cellStyle name="hhh" xfId="16" xr:uid="{A96F8B6C-9F92-453F-AFCF-394640481B6B}"/>
    <cellStyle name="Input" xfId="4" builtinId="20"/>
    <cellStyle name="Neutral" xfId="8" builtinId="28"/>
    <cellStyle name="Normal" xfId="0" builtinId="0"/>
    <cellStyle name="Warning Text" xfId="11" builtinId="11"/>
  </cellStyles>
  <dxfs count="102"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yyyy\-mm\-dd;@"/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ECECE"/>
      <color rgb="FFF8BABA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28575</xdr:rowOff>
        </xdr:from>
        <xdr:to>
          <xdr:col>9</xdr:col>
          <xdr:colOff>581025</xdr:colOff>
          <xdr:row>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تحديث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85</xdr:row>
          <xdr:rowOff>47625</xdr:rowOff>
        </xdr:from>
        <xdr:to>
          <xdr:col>10</xdr:col>
          <xdr:colOff>0</xdr:colOff>
          <xdr:row>87</xdr:row>
          <xdr:rowOff>9525</xdr:rowOff>
        </xdr:to>
        <xdr:sp macro="" textlink="">
          <xdr:nvSpPr>
            <xdr:cNvPr id="7199" name="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5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تحديث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168</xdr:row>
          <xdr:rowOff>0</xdr:rowOff>
        </xdr:from>
        <xdr:to>
          <xdr:col>10</xdr:col>
          <xdr:colOff>0</xdr:colOff>
          <xdr:row>170</xdr:row>
          <xdr:rowOff>9525</xdr:rowOff>
        </xdr:to>
        <xdr:sp macro="" textlink="">
          <xdr:nvSpPr>
            <xdr:cNvPr id="7200" name="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5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تحديث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212</xdr:row>
          <xdr:rowOff>38100</xdr:rowOff>
        </xdr:from>
        <xdr:to>
          <xdr:col>9</xdr:col>
          <xdr:colOff>581025</xdr:colOff>
          <xdr:row>214</xdr:row>
          <xdr:rowOff>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5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تحديث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238</xdr:row>
          <xdr:rowOff>47625</xdr:rowOff>
        </xdr:from>
        <xdr:to>
          <xdr:col>9</xdr:col>
          <xdr:colOff>571500</xdr:colOff>
          <xdr:row>240</xdr:row>
          <xdr:rowOff>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5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تحديث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CDFC95-7170-48DE-8FB5-2B0BE640D01B}" name="Table12" displayName="Table12" ref="A1:G500" headerRowDxfId="101" tableBorderDxfId="100">
  <autoFilter ref="A1:G500" xr:uid="{42CDFC95-7170-48DE-8FB5-2B0BE640D01B}">
    <filterColumn colId="5">
      <filters>
        <filter val="153"/>
      </filters>
    </filterColumn>
  </autoFilter>
  <tableColumns count="7">
    <tableColumn id="1" xr3:uid="{935441C8-EF1F-447A-9A6A-88744B7AA09C}" name="+" totalsRowLabel="Total"/>
    <tableColumn id="2" xr3:uid="{41674C40-331A-4635-8C17-ECC336338414}" name="المنطقة"/>
    <tableColumn id="3" xr3:uid="{4D5FAEDB-70B4-4AC4-8B03-C90E2BE8017D}" name="اسم المستفيد"/>
    <tableColumn id="4" xr3:uid="{B0DEEDB7-CFF8-4467-98B3-A1717FAA0557}" name="رقم الهاتف"/>
    <tableColumn id="5" xr3:uid="{98B0FDCE-9810-45B3-BB10-48AABA1B7DEF}" name="السابق"/>
    <tableColumn id="6" xr3:uid="{F2426016-A2D9-4658-9B08-B29EB366A684}" name="الرمز"/>
    <tableColumn id="7" xr3:uid="{76B6CA90-76DE-40BE-A23E-29B4FF7D784A}" name="الملاحظات المالية" totalsRowFunction="coun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3A932B-D619-4E37-9D35-F0B74C782F3B}" name="Table5" displayName="Table5" ref="B2:G4005" totalsRowShown="0" headerRowDxfId="99" headerRowBorderDxfId="98" tableBorderDxfId="97">
  <autoFilter ref="B2:G4005" xr:uid="{DF3A932B-D619-4E37-9D35-F0B74C782F3B}"/>
  <tableColumns count="6">
    <tableColumn id="1" xr3:uid="{081AEF5D-16A9-4E92-B2AA-A8B24267FF6E}" name="رقم الوصل"/>
    <tableColumn id="2" xr3:uid="{3869DA59-A59B-4B56-8FFF-DBDAAABCAA41}" name="التاريخ"/>
    <tableColumn id="3" xr3:uid="{9F6EE43B-6700-4FF9-BF70-84804A2D4E90}" name="الصنف"/>
    <tableColumn id="4" xr3:uid="{7820F7C3-9622-41B9-8605-70AF39F88986}" name="الاسم"/>
    <tableColumn id="5" xr3:uid="{F19F420C-9414-42AF-BEB9-32CCC21DED9E}" name="التفاصيل" dataDxfId="96"/>
    <tableColumn id="7" xr3:uid="{0A13AEBA-122F-4F15-8DFE-D1BFEE77F9EA}" name="الشهر" dataDxfId="9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\" TargetMode="Externa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2D3F-62A0-4600-BC09-6B5021123C0B}">
  <sheetPr codeName="Sheet1">
    <tabColor theme="9" tint="0.59999389629810485"/>
  </sheetPr>
  <dimension ref="A1:BN509"/>
  <sheetViews>
    <sheetView rightToLeft="1" zoomScale="91" zoomScaleNormal="91" workbookViewId="0">
      <selection activeCell="AU540" sqref="AU540"/>
    </sheetView>
  </sheetViews>
  <sheetFormatPr defaultRowHeight="15" x14ac:dyDescent="0.25"/>
  <cols>
    <col min="1" max="1" width="5.7109375" customWidth="1"/>
    <col min="2" max="2" width="10.7109375" customWidth="1"/>
    <col min="3" max="3" width="24.140625" bestFit="1" customWidth="1"/>
    <col min="4" max="4" width="13.85546875" bestFit="1" customWidth="1"/>
    <col min="5" max="5" width="9.42578125" customWidth="1"/>
    <col min="6" max="6" width="7.85546875" customWidth="1"/>
    <col min="7" max="7" width="20.28515625" customWidth="1"/>
    <col min="8" max="8" width="3" customWidth="1"/>
    <col min="9" max="9" width="8.7109375" customWidth="1"/>
    <col min="10" max="10" width="11.5703125" bestFit="1" customWidth="1"/>
    <col min="11" max="11" width="17.7109375" bestFit="1" customWidth="1"/>
    <col min="12" max="12" width="2.7109375" customWidth="1"/>
    <col min="13" max="13" width="7.7109375" customWidth="1"/>
    <col min="14" max="14" width="12.7109375" customWidth="1"/>
    <col min="15" max="15" width="17.28515625" bestFit="1" customWidth="1"/>
    <col min="16" max="16" width="2.7109375" customWidth="1"/>
    <col min="17" max="17" width="8.7109375" customWidth="1"/>
    <col min="18" max="18" width="11.5703125" bestFit="1" customWidth="1"/>
    <col min="19" max="19" width="15.42578125" bestFit="1" customWidth="1"/>
    <col min="20" max="20" width="2.7109375" customWidth="1"/>
    <col min="21" max="21" width="8.7109375" bestFit="1" customWidth="1"/>
    <col min="22" max="22" width="11.5703125" bestFit="1" customWidth="1"/>
    <col min="23" max="23" width="15.42578125" bestFit="1" customWidth="1"/>
    <col min="24" max="24" width="2.7109375" customWidth="1"/>
    <col min="25" max="25" width="12.7109375" bestFit="1" customWidth="1"/>
    <col min="26" max="26" width="11.5703125" bestFit="1" customWidth="1"/>
    <col min="27" max="27" width="15.42578125" bestFit="1" customWidth="1"/>
    <col min="28" max="28" width="2.7109375" customWidth="1"/>
    <col min="29" max="29" width="10.7109375" customWidth="1"/>
    <col min="30" max="30" width="11.5703125" bestFit="1" customWidth="1"/>
    <col min="31" max="31" width="15.42578125" bestFit="1" customWidth="1"/>
    <col min="32" max="32" width="2.7109375" customWidth="1"/>
    <col min="33" max="33" width="8.28515625" customWidth="1"/>
    <col min="34" max="34" width="12.7109375" customWidth="1"/>
    <col min="35" max="35" width="15.7109375" customWidth="1"/>
    <col min="36" max="36" width="2.7109375" customWidth="1"/>
    <col min="37" max="37" width="7.7109375" customWidth="1"/>
    <col min="38" max="38" width="12.7109375" customWidth="1"/>
    <col min="39" max="39" width="15.7109375" customWidth="1"/>
    <col min="40" max="40" width="2.7109375" customWidth="1"/>
    <col min="41" max="41" width="7.7109375" customWidth="1"/>
    <col min="42" max="42" width="12.7109375" customWidth="1"/>
    <col min="43" max="43" width="16.28515625" customWidth="1"/>
    <col min="44" max="44" width="2.7109375" customWidth="1"/>
    <col min="45" max="45" width="7.7109375" customWidth="1"/>
    <col min="46" max="46" width="12.7109375" customWidth="1"/>
    <col min="47" max="47" width="16.28515625" customWidth="1"/>
    <col min="48" max="48" width="2.7109375" customWidth="1"/>
    <col min="49" max="49" width="7.7109375" customWidth="1"/>
    <col min="50" max="50" width="12.7109375" customWidth="1"/>
    <col min="51" max="51" width="16.28515625" customWidth="1"/>
    <col min="52" max="52" width="2.7109375" customWidth="1"/>
    <col min="53" max="53" width="7.7109375" customWidth="1"/>
    <col min="54" max="54" width="12.7109375" customWidth="1"/>
    <col min="55" max="55" width="16.28515625" customWidth="1"/>
    <col min="56" max="56" width="2.7109375" customWidth="1"/>
    <col min="57" max="57" width="7.7109375" customWidth="1"/>
    <col min="58" max="58" width="12.7109375" customWidth="1"/>
    <col min="59" max="59" width="16.28515625" customWidth="1"/>
    <col min="60" max="60" width="2.7109375" customWidth="1"/>
    <col min="61" max="61" width="7.7109375" customWidth="1"/>
    <col min="62" max="62" width="12.7109375" customWidth="1"/>
    <col min="63" max="63" width="16.28515625" customWidth="1"/>
    <col min="64" max="64" width="2.7109375" customWidth="1"/>
    <col min="65" max="65" width="18.7109375" customWidth="1"/>
    <col min="66" max="66" width="20.7109375" customWidth="1"/>
  </cols>
  <sheetData>
    <row r="1" spans="1:66" ht="22.5" customHeight="1" x14ac:dyDescent="0.25">
      <c r="A1" s="98" t="s">
        <v>215</v>
      </c>
      <c r="B1" s="94" t="s">
        <v>216</v>
      </c>
      <c r="C1" s="95" t="s">
        <v>217</v>
      </c>
      <c r="D1" s="94" t="s">
        <v>218</v>
      </c>
      <c r="E1" s="95" t="s">
        <v>219</v>
      </c>
      <c r="F1" s="95" t="s">
        <v>220</v>
      </c>
      <c r="G1" s="96" t="s">
        <v>221</v>
      </c>
      <c r="I1" s="256" t="s">
        <v>222</v>
      </c>
      <c r="J1" s="256"/>
      <c r="K1" s="256"/>
      <c r="L1" s="22"/>
      <c r="M1" s="256" t="s">
        <v>223</v>
      </c>
      <c r="N1" s="256"/>
      <c r="O1" s="256"/>
      <c r="P1" s="22"/>
      <c r="Q1" s="256" t="s">
        <v>224</v>
      </c>
      <c r="R1" s="256"/>
      <c r="S1" s="256"/>
      <c r="T1" s="22"/>
      <c r="U1" s="256" t="s">
        <v>225</v>
      </c>
      <c r="V1" s="256"/>
      <c r="W1" s="256"/>
      <c r="X1" s="22"/>
      <c r="Y1" s="256" t="s">
        <v>226</v>
      </c>
      <c r="Z1" s="256"/>
      <c r="AA1" s="256"/>
      <c r="AB1" s="22"/>
      <c r="AC1" s="256" t="s">
        <v>227</v>
      </c>
      <c r="AD1" s="256"/>
      <c r="AE1" s="256"/>
      <c r="AG1" s="256" t="s">
        <v>228</v>
      </c>
      <c r="AH1" s="256"/>
      <c r="AI1" s="256"/>
      <c r="AK1" s="256" t="s">
        <v>229</v>
      </c>
      <c r="AL1" s="256"/>
      <c r="AM1" s="256"/>
      <c r="AO1" s="256" t="s">
        <v>230</v>
      </c>
      <c r="AP1" s="256"/>
      <c r="AQ1" s="256"/>
      <c r="AS1" s="256" t="s">
        <v>231</v>
      </c>
      <c r="AT1" s="256"/>
      <c r="AU1" s="256"/>
      <c r="AW1" s="256" t="s">
        <v>232</v>
      </c>
      <c r="AX1" s="256"/>
      <c r="AY1" s="256"/>
      <c r="BA1" s="256" t="s">
        <v>233</v>
      </c>
      <c r="BB1" s="256"/>
      <c r="BC1" s="256"/>
      <c r="BE1" s="256" t="s">
        <v>234</v>
      </c>
      <c r="BF1" s="256"/>
      <c r="BG1" s="256"/>
      <c r="BI1" s="256" t="s">
        <v>235</v>
      </c>
      <c r="BJ1" s="256"/>
      <c r="BK1" s="256"/>
      <c r="BM1" s="257" t="s">
        <v>236</v>
      </c>
      <c r="BN1" s="257" t="s">
        <v>237</v>
      </c>
    </row>
    <row r="2" spans="1:66" ht="15.75" hidden="1" customHeight="1" x14ac:dyDescent="0.25">
      <c r="A2" s="97"/>
      <c r="B2" s="92"/>
      <c r="C2" s="28"/>
      <c r="D2" s="92"/>
      <c r="E2" s="28"/>
      <c r="F2" s="28"/>
      <c r="G2" s="93"/>
      <c r="I2" s="23" t="s">
        <v>238</v>
      </c>
      <c r="J2" s="24" t="s">
        <v>239</v>
      </c>
      <c r="K2" s="25" t="s">
        <v>7</v>
      </c>
      <c r="L2" s="22"/>
      <c r="M2" s="23" t="s">
        <v>238</v>
      </c>
      <c r="N2" s="24" t="s">
        <v>239</v>
      </c>
      <c r="O2" s="26" t="s">
        <v>7</v>
      </c>
      <c r="P2" s="22"/>
      <c r="Q2" s="23" t="s">
        <v>238</v>
      </c>
      <c r="R2" s="24" t="s">
        <v>239</v>
      </c>
      <c r="S2" s="27" t="s">
        <v>7</v>
      </c>
      <c r="T2" s="22"/>
      <c r="U2" s="23" t="s">
        <v>238</v>
      </c>
      <c r="V2" s="24" t="s">
        <v>239</v>
      </c>
      <c r="W2" s="27" t="s">
        <v>7</v>
      </c>
      <c r="X2" s="22"/>
      <c r="Y2" s="23" t="s">
        <v>238</v>
      </c>
      <c r="Z2" s="24" t="s">
        <v>239</v>
      </c>
      <c r="AA2" s="27" t="s">
        <v>7</v>
      </c>
      <c r="AB2" s="22"/>
      <c r="AC2" s="23" t="s">
        <v>238</v>
      </c>
      <c r="AD2" s="24" t="s">
        <v>239</v>
      </c>
      <c r="AE2" s="27" t="s">
        <v>7</v>
      </c>
      <c r="AG2" s="23" t="s">
        <v>238</v>
      </c>
      <c r="AH2" s="24" t="s">
        <v>239</v>
      </c>
      <c r="AI2" s="27" t="s">
        <v>7</v>
      </c>
      <c r="AK2" s="23" t="s">
        <v>238</v>
      </c>
      <c r="AL2" s="24" t="s">
        <v>239</v>
      </c>
      <c r="AM2" s="27" t="s">
        <v>7</v>
      </c>
      <c r="AO2" s="23" t="s">
        <v>238</v>
      </c>
      <c r="AP2" s="24" t="s">
        <v>239</v>
      </c>
      <c r="AQ2" s="27" t="s">
        <v>7</v>
      </c>
      <c r="AS2" s="23" t="s">
        <v>238</v>
      </c>
      <c r="AT2" s="24" t="s">
        <v>239</v>
      </c>
      <c r="AU2" s="27" t="s">
        <v>7</v>
      </c>
      <c r="AW2" s="23" t="s">
        <v>238</v>
      </c>
      <c r="AX2" s="24" t="s">
        <v>239</v>
      </c>
      <c r="AY2" s="27" t="s">
        <v>7</v>
      </c>
      <c r="BA2" s="23" t="s">
        <v>238</v>
      </c>
      <c r="BB2" s="24" t="s">
        <v>239</v>
      </c>
      <c r="BC2" s="27" t="s">
        <v>7</v>
      </c>
      <c r="BE2" s="23" t="s">
        <v>238</v>
      </c>
      <c r="BF2" s="24" t="s">
        <v>239</v>
      </c>
      <c r="BG2" s="27" t="s">
        <v>7</v>
      </c>
      <c r="BI2" s="23" t="s">
        <v>238</v>
      </c>
      <c r="BJ2" s="24" t="s">
        <v>239</v>
      </c>
      <c r="BK2" s="27" t="s">
        <v>7</v>
      </c>
      <c r="BM2" s="258"/>
      <c r="BN2" s="258"/>
    </row>
    <row r="3" spans="1:66" ht="15.75" hidden="1" x14ac:dyDescent="0.25">
      <c r="A3" s="29">
        <v>1</v>
      </c>
      <c r="B3" s="30" t="s">
        <v>240</v>
      </c>
      <c r="C3" s="31" t="s">
        <v>241</v>
      </c>
      <c r="D3" s="32" t="s">
        <v>242</v>
      </c>
      <c r="E3" s="33">
        <v>151</v>
      </c>
      <c r="F3" s="33">
        <v>1</v>
      </c>
      <c r="G3" s="16"/>
      <c r="I3" s="34"/>
      <c r="J3" s="35"/>
      <c r="K3" s="36"/>
      <c r="L3" s="19"/>
      <c r="M3" s="34"/>
      <c r="N3" s="35"/>
      <c r="O3" s="37"/>
      <c r="P3" s="19"/>
      <c r="Q3" s="34"/>
      <c r="R3" s="35"/>
      <c r="S3" s="37"/>
      <c r="T3" s="19"/>
      <c r="U3" s="34"/>
      <c r="V3" s="35"/>
      <c r="W3" s="37"/>
      <c r="X3" s="19"/>
      <c r="Y3" s="34"/>
      <c r="Z3" s="35"/>
      <c r="AA3" s="37"/>
      <c r="AB3" s="19"/>
      <c r="AC3" s="34"/>
      <c r="AD3" s="35"/>
      <c r="AE3" s="37"/>
      <c r="AG3" s="34"/>
      <c r="AH3" s="35"/>
      <c r="AI3" s="37"/>
      <c r="AK3" s="34"/>
      <c r="AL3" s="35"/>
      <c r="AM3" s="37"/>
      <c r="AO3" s="34"/>
      <c r="AP3" s="35"/>
      <c r="AQ3" s="37"/>
      <c r="AS3" s="34"/>
      <c r="AT3" s="35"/>
      <c r="AU3" s="37"/>
      <c r="AW3" s="34"/>
      <c r="AX3" s="35"/>
      <c r="AY3" s="37"/>
      <c r="BA3" s="34"/>
      <c r="BB3" s="35"/>
      <c r="BC3" s="37"/>
      <c r="BE3" s="34"/>
      <c r="BF3" s="35"/>
      <c r="BG3" s="37"/>
      <c r="BI3" s="34"/>
      <c r="BJ3" s="35"/>
      <c r="BK3" s="37"/>
      <c r="BM3" s="38">
        <f>SUM(K3,O3,S3,W3,AA3,AE3,AI3,AM3,AQ3,AU3,AY3,BC3,BG3,BK3)</f>
        <v>0</v>
      </c>
      <c r="BN3" s="39">
        <f>SUM(BM3:BM185)</f>
        <v>5531900000</v>
      </c>
    </row>
    <row r="4" spans="1:66" ht="15.75" hidden="1" x14ac:dyDescent="0.25">
      <c r="A4" s="29">
        <v>2</v>
      </c>
      <c r="B4" s="30" t="s">
        <v>240</v>
      </c>
      <c r="C4" s="13" t="s">
        <v>243</v>
      </c>
      <c r="D4" s="5" t="s">
        <v>244</v>
      </c>
      <c r="E4" s="16">
        <v>150</v>
      </c>
      <c r="F4" s="33">
        <v>2</v>
      </c>
      <c r="G4" s="16"/>
      <c r="I4" s="34"/>
      <c r="J4" s="35"/>
      <c r="K4" s="36"/>
      <c r="L4" s="19"/>
      <c r="M4" s="34"/>
      <c r="N4" s="40"/>
      <c r="O4" s="41"/>
      <c r="P4" s="19"/>
      <c r="Q4" s="34"/>
      <c r="R4" s="40"/>
      <c r="S4" s="41"/>
      <c r="T4" s="19"/>
      <c r="U4" s="34"/>
      <c r="V4" s="40"/>
      <c r="W4" s="41"/>
      <c r="X4" s="19"/>
      <c r="Y4" s="34"/>
      <c r="Z4" s="40"/>
      <c r="AA4" s="41"/>
      <c r="AB4" s="19"/>
      <c r="AC4" s="34"/>
      <c r="AD4" s="40"/>
      <c r="AE4" s="41"/>
      <c r="AG4" s="34"/>
      <c r="AH4" s="40"/>
      <c r="AI4" s="41"/>
      <c r="AK4" s="34"/>
      <c r="AL4" s="40"/>
      <c r="AM4" s="41"/>
      <c r="AO4" s="34"/>
      <c r="AP4" s="40"/>
      <c r="AQ4" s="41"/>
      <c r="AS4" s="34"/>
      <c r="AT4" s="40"/>
      <c r="AU4" s="41"/>
      <c r="AW4" s="34"/>
      <c r="AX4" s="40"/>
      <c r="AY4" s="41"/>
      <c r="BA4" s="34"/>
      <c r="BB4" s="40"/>
      <c r="BC4" s="41"/>
      <c r="BE4" s="34"/>
      <c r="BF4" s="40"/>
      <c r="BG4" s="41"/>
      <c r="BI4" s="34"/>
      <c r="BJ4" s="40"/>
      <c r="BK4" s="41"/>
      <c r="BM4" s="38">
        <f t="shared" ref="BM4:BM67" si="0">SUM(K4,O4,S4,W4,AA4,AE4,AI4,AM4,AQ4,AU4,AY4,BC4,BG4,BK4)</f>
        <v>0</v>
      </c>
      <c r="BN4" s="19"/>
    </row>
    <row r="5" spans="1:66" ht="15.75" hidden="1" x14ac:dyDescent="0.25">
      <c r="A5" s="29">
        <v>3</v>
      </c>
      <c r="B5" s="30" t="s">
        <v>240</v>
      </c>
      <c r="C5" s="12" t="s">
        <v>245</v>
      </c>
      <c r="D5" s="18" t="s">
        <v>246</v>
      </c>
      <c r="E5" s="16">
        <v>149</v>
      </c>
      <c r="F5" s="33">
        <v>3</v>
      </c>
      <c r="G5" s="16"/>
      <c r="I5" s="34"/>
      <c r="J5" s="35"/>
      <c r="K5" s="36"/>
      <c r="L5" s="19"/>
      <c r="M5" s="34"/>
      <c r="N5" s="40"/>
      <c r="O5" s="41"/>
      <c r="P5" s="19"/>
      <c r="Q5" s="34"/>
      <c r="R5" s="40"/>
      <c r="S5" s="41"/>
      <c r="T5" s="19"/>
      <c r="U5" s="34"/>
      <c r="V5" s="40"/>
      <c r="W5" s="41"/>
      <c r="X5" s="19"/>
      <c r="Y5" s="34"/>
      <c r="Z5" s="40"/>
      <c r="AA5" s="41"/>
      <c r="AB5" s="19"/>
      <c r="AC5" s="34"/>
      <c r="AD5" s="40"/>
      <c r="AE5" s="41"/>
      <c r="AG5" s="34"/>
      <c r="AH5" s="40"/>
      <c r="AI5" s="41"/>
      <c r="AK5" s="34"/>
      <c r="AL5" s="40"/>
      <c r="AM5" s="41"/>
      <c r="AO5" s="34"/>
      <c r="AP5" s="40"/>
      <c r="AQ5" s="41"/>
      <c r="AS5" s="34"/>
      <c r="AT5" s="40"/>
      <c r="AU5" s="41"/>
      <c r="AW5" s="34"/>
      <c r="AX5" s="40"/>
      <c r="AY5" s="41"/>
      <c r="BA5" s="34"/>
      <c r="BB5" s="40"/>
      <c r="BC5" s="41"/>
      <c r="BE5" s="34"/>
      <c r="BF5" s="40"/>
      <c r="BG5" s="41"/>
      <c r="BI5" s="34"/>
      <c r="BJ5" s="40"/>
      <c r="BK5" s="41"/>
      <c r="BM5" s="38">
        <f t="shared" si="0"/>
        <v>0</v>
      </c>
      <c r="BN5" s="19"/>
    </row>
    <row r="6" spans="1:66" ht="15.75" hidden="1" x14ac:dyDescent="0.25">
      <c r="A6" s="29">
        <v>4</v>
      </c>
      <c r="B6" s="30" t="s">
        <v>240</v>
      </c>
      <c r="C6" s="13" t="s">
        <v>247</v>
      </c>
      <c r="D6" s="5" t="s">
        <v>248</v>
      </c>
      <c r="E6" s="16">
        <v>148</v>
      </c>
      <c r="F6" s="33">
        <v>4</v>
      </c>
      <c r="G6" s="16"/>
      <c r="I6" s="34"/>
      <c r="J6" s="35"/>
      <c r="K6" s="36"/>
      <c r="L6" s="19"/>
      <c r="M6" s="34"/>
      <c r="N6" s="40"/>
      <c r="O6" s="41"/>
      <c r="P6" s="19"/>
      <c r="Q6" s="34"/>
      <c r="R6" s="40"/>
      <c r="S6" s="41"/>
      <c r="T6" s="19"/>
      <c r="U6" s="34"/>
      <c r="V6" s="40"/>
      <c r="W6" s="41"/>
      <c r="X6" s="19"/>
      <c r="Y6" s="34"/>
      <c r="Z6" s="40"/>
      <c r="AA6" s="41"/>
      <c r="AB6" s="19"/>
      <c r="AC6" s="34"/>
      <c r="AD6" s="40"/>
      <c r="AE6" s="41"/>
      <c r="AG6" s="34"/>
      <c r="AH6" s="40"/>
      <c r="AI6" s="41"/>
      <c r="AK6" s="34"/>
      <c r="AL6" s="40"/>
      <c r="AM6" s="41"/>
      <c r="AO6" s="34"/>
      <c r="AP6" s="40"/>
      <c r="AQ6" s="41"/>
      <c r="AS6" s="34"/>
      <c r="AT6" s="40"/>
      <c r="AU6" s="41"/>
      <c r="AW6" s="34"/>
      <c r="AX6" s="40"/>
      <c r="AY6" s="41"/>
      <c r="BA6" s="34"/>
      <c r="BB6" s="40"/>
      <c r="BC6" s="41"/>
      <c r="BE6" s="34"/>
      <c r="BF6" s="40"/>
      <c r="BG6" s="41"/>
      <c r="BI6" s="34"/>
      <c r="BJ6" s="40"/>
      <c r="BK6" s="41"/>
      <c r="BM6" s="38">
        <f t="shared" si="0"/>
        <v>0</v>
      </c>
      <c r="BN6" s="19"/>
    </row>
    <row r="7" spans="1:66" ht="15.75" hidden="1" x14ac:dyDescent="0.25">
      <c r="A7" s="29">
        <v>5</v>
      </c>
      <c r="B7" s="30" t="s">
        <v>240</v>
      </c>
      <c r="C7" s="13" t="s">
        <v>249</v>
      </c>
      <c r="D7" s="18" t="s">
        <v>250</v>
      </c>
      <c r="E7" s="16">
        <v>147</v>
      </c>
      <c r="F7" s="33">
        <v>5</v>
      </c>
      <c r="G7" s="16"/>
      <c r="I7" s="34"/>
      <c r="J7" s="35"/>
      <c r="K7" s="36"/>
      <c r="L7" s="19"/>
      <c r="M7" s="34"/>
      <c r="N7" s="40"/>
      <c r="O7" s="41"/>
      <c r="P7" s="19"/>
      <c r="Q7" s="34"/>
      <c r="R7" s="40"/>
      <c r="S7" s="41"/>
      <c r="T7" s="19"/>
      <c r="U7" s="34"/>
      <c r="V7" s="40"/>
      <c r="W7" s="42"/>
      <c r="X7" s="19"/>
      <c r="Y7" s="34"/>
      <c r="Z7" s="40"/>
      <c r="AA7" s="42"/>
      <c r="AB7" s="19"/>
      <c r="AC7" s="34"/>
      <c r="AD7" s="40"/>
      <c r="AE7" s="42"/>
      <c r="AG7" s="34"/>
      <c r="AH7" s="40"/>
      <c r="AI7" s="42"/>
      <c r="AK7" s="34"/>
      <c r="AL7" s="40"/>
      <c r="AM7" s="42"/>
      <c r="AO7" s="34"/>
      <c r="AP7" s="40"/>
      <c r="AQ7" s="42"/>
      <c r="AS7" s="34"/>
      <c r="AT7" s="40"/>
      <c r="AU7" s="42"/>
      <c r="AW7" s="34"/>
      <c r="AX7" s="40"/>
      <c r="AY7" s="42"/>
      <c r="BA7" s="34"/>
      <c r="BB7" s="40"/>
      <c r="BC7" s="42"/>
      <c r="BE7" s="34"/>
      <c r="BF7" s="40"/>
      <c r="BG7" s="42"/>
      <c r="BI7" s="34"/>
      <c r="BJ7" s="40"/>
      <c r="BK7" s="42"/>
      <c r="BM7" s="38">
        <f t="shared" si="0"/>
        <v>0</v>
      </c>
      <c r="BN7" s="19"/>
    </row>
    <row r="8" spans="1:66" ht="15.75" hidden="1" x14ac:dyDescent="0.25">
      <c r="A8" s="29">
        <v>6</v>
      </c>
      <c r="B8" s="30" t="s">
        <v>240</v>
      </c>
      <c r="C8" s="13" t="s">
        <v>251</v>
      </c>
      <c r="D8" s="18" t="s">
        <v>252</v>
      </c>
      <c r="E8" s="16">
        <v>146</v>
      </c>
      <c r="F8" s="33">
        <v>6</v>
      </c>
      <c r="G8" s="16"/>
      <c r="I8" s="34"/>
      <c r="J8" s="35"/>
      <c r="K8" s="36"/>
      <c r="L8" s="19"/>
      <c r="M8" s="34"/>
      <c r="N8" s="40"/>
      <c r="O8" s="41"/>
      <c r="P8" s="19"/>
      <c r="Q8" s="34"/>
      <c r="R8" s="40"/>
      <c r="S8" s="41"/>
      <c r="T8" s="19"/>
      <c r="U8" s="34"/>
      <c r="V8" s="40"/>
      <c r="W8" s="41"/>
      <c r="X8" s="19"/>
      <c r="Y8" s="34"/>
      <c r="Z8" s="40"/>
      <c r="AA8" s="41"/>
      <c r="AB8" s="19"/>
      <c r="AC8" s="34"/>
      <c r="AD8" s="40"/>
      <c r="AE8" s="41"/>
      <c r="AG8" s="34"/>
      <c r="AH8" s="40"/>
      <c r="AI8" s="41"/>
      <c r="AK8" s="34"/>
      <c r="AL8" s="40"/>
      <c r="AM8" s="41"/>
      <c r="AO8" s="34"/>
      <c r="AP8" s="40"/>
      <c r="AQ8" s="41"/>
      <c r="AS8" s="34"/>
      <c r="AT8" s="40"/>
      <c r="AU8" s="41"/>
      <c r="AW8" s="34"/>
      <c r="AX8" s="40"/>
      <c r="AY8" s="41"/>
      <c r="BA8" s="34"/>
      <c r="BB8" s="40"/>
      <c r="BC8" s="41"/>
      <c r="BE8" s="34"/>
      <c r="BF8" s="40"/>
      <c r="BG8" s="41"/>
      <c r="BI8" s="34"/>
      <c r="BJ8" s="40"/>
      <c r="BK8" s="41"/>
      <c r="BM8" s="38">
        <f t="shared" si="0"/>
        <v>0</v>
      </c>
      <c r="BN8" s="19"/>
    </row>
    <row r="9" spans="1:66" ht="15.75" hidden="1" x14ac:dyDescent="0.25">
      <c r="A9" s="29">
        <v>7</v>
      </c>
      <c r="B9" s="30" t="s">
        <v>240</v>
      </c>
      <c r="C9" s="13" t="s">
        <v>253</v>
      </c>
      <c r="D9" s="5" t="s">
        <v>242</v>
      </c>
      <c r="E9" s="16">
        <v>145</v>
      </c>
      <c r="F9" s="33">
        <v>7</v>
      </c>
      <c r="G9" s="16"/>
      <c r="I9" s="34"/>
      <c r="J9" s="35"/>
      <c r="K9" s="36"/>
      <c r="L9" s="19"/>
      <c r="M9" s="34"/>
      <c r="N9" s="40"/>
      <c r="O9" s="41"/>
      <c r="P9" s="19"/>
      <c r="Q9" s="34"/>
      <c r="R9" s="40"/>
      <c r="S9" s="41"/>
      <c r="T9" s="19"/>
      <c r="U9" s="34"/>
      <c r="V9" s="40"/>
      <c r="W9" s="41"/>
      <c r="X9" s="19"/>
      <c r="Y9" s="34"/>
      <c r="Z9" s="40"/>
      <c r="AA9" s="41"/>
      <c r="AB9" s="19"/>
      <c r="AC9" s="34"/>
      <c r="AD9" s="40"/>
      <c r="AE9" s="41"/>
      <c r="AG9" s="34"/>
      <c r="AH9" s="40"/>
      <c r="AI9" s="41"/>
      <c r="AK9" s="34"/>
      <c r="AL9" s="40"/>
      <c r="AM9" s="41"/>
      <c r="AO9" s="34"/>
      <c r="AP9" s="40"/>
      <c r="AQ9" s="41"/>
      <c r="AS9" s="34"/>
      <c r="AT9" s="40"/>
      <c r="AU9" s="41"/>
      <c r="AW9" s="34"/>
      <c r="AX9" s="40"/>
      <c r="AY9" s="41"/>
      <c r="BA9" s="34"/>
      <c r="BB9" s="40"/>
      <c r="BC9" s="41"/>
      <c r="BE9" s="34"/>
      <c r="BF9" s="40"/>
      <c r="BG9" s="41"/>
      <c r="BI9" s="34"/>
      <c r="BJ9" s="40"/>
      <c r="BK9" s="41"/>
      <c r="BM9" s="38">
        <f t="shared" si="0"/>
        <v>0</v>
      </c>
      <c r="BN9" s="19"/>
    </row>
    <row r="10" spans="1:66" ht="15.75" hidden="1" x14ac:dyDescent="0.25">
      <c r="A10" s="29">
        <v>8</v>
      </c>
      <c r="B10" s="30" t="s">
        <v>240</v>
      </c>
      <c r="C10" s="13" t="s">
        <v>254</v>
      </c>
      <c r="D10" s="18" t="s">
        <v>255</v>
      </c>
      <c r="E10" s="16">
        <v>144</v>
      </c>
      <c r="F10" s="33">
        <v>8</v>
      </c>
      <c r="G10" s="16"/>
      <c r="I10" s="34"/>
      <c r="J10" s="35"/>
      <c r="K10" s="36"/>
      <c r="L10" s="19"/>
      <c r="M10" s="34"/>
      <c r="N10" s="40"/>
      <c r="O10" s="41"/>
      <c r="P10" s="19"/>
      <c r="Q10" s="34"/>
      <c r="R10" s="40"/>
      <c r="S10" s="41"/>
      <c r="T10" s="19"/>
      <c r="U10" s="34"/>
      <c r="V10" s="40"/>
      <c r="W10" s="41"/>
      <c r="X10" s="19"/>
      <c r="Y10" s="34"/>
      <c r="Z10" s="40"/>
      <c r="AA10" s="41"/>
      <c r="AB10" s="19"/>
      <c r="AC10" s="34"/>
      <c r="AD10" s="40"/>
      <c r="AE10" s="41"/>
      <c r="AG10" s="34"/>
      <c r="AH10" s="40"/>
      <c r="AI10" s="41"/>
      <c r="AK10" s="34"/>
      <c r="AL10" s="40"/>
      <c r="AM10" s="41"/>
      <c r="AO10" s="34"/>
      <c r="AP10" s="40"/>
      <c r="AQ10" s="41"/>
      <c r="AS10" s="34"/>
      <c r="AT10" s="40"/>
      <c r="AU10" s="41"/>
      <c r="AW10" s="34"/>
      <c r="AX10" s="40"/>
      <c r="AY10" s="41"/>
      <c r="BA10" s="34"/>
      <c r="BB10" s="40"/>
      <c r="BC10" s="41"/>
      <c r="BE10" s="34"/>
      <c r="BF10" s="40"/>
      <c r="BG10" s="41"/>
      <c r="BI10" s="34"/>
      <c r="BJ10" s="40"/>
      <c r="BK10" s="41"/>
      <c r="BM10" s="38">
        <f t="shared" si="0"/>
        <v>0</v>
      </c>
      <c r="BN10" s="19"/>
    </row>
    <row r="11" spans="1:66" ht="15.75" hidden="1" x14ac:dyDescent="0.25">
      <c r="A11" s="29">
        <v>9</v>
      </c>
      <c r="B11" s="30" t="s">
        <v>240</v>
      </c>
      <c r="C11" s="13" t="s">
        <v>256</v>
      </c>
      <c r="D11" s="18" t="s">
        <v>257</v>
      </c>
      <c r="E11" s="16">
        <v>143</v>
      </c>
      <c r="F11" s="33">
        <v>9</v>
      </c>
      <c r="G11" s="16"/>
      <c r="I11" s="34"/>
      <c r="J11" s="35"/>
      <c r="K11" s="36"/>
      <c r="L11" s="19"/>
      <c r="M11" s="34"/>
      <c r="N11" s="40"/>
      <c r="O11" s="41"/>
      <c r="P11" s="19"/>
      <c r="Q11" s="34"/>
      <c r="R11" s="40"/>
      <c r="S11" s="41"/>
      <c r="T11" s="19"/>
      <c r="U11" s="34"/>
      <c r="V11" s="40"/>
      <c r="W11" s="41"/>
      <c r="X11" s="19"/>
      <c r="Y11" s="34"/>
      <c r="Z11" s="40"/>
      <c r="AA11" s="41"/>
      <c r="AB11" s="19"/>
      <c r="AC11" s="34"/>
      <c r="AD11" s="40"/>
      <c r="AE11" s="41"/>
      <c r="AG11" s="34"/>
      <c r="AH11" s="40"/>
      <c r="AI11" s="41"/>
      <c r="AK11" s="34"/>
      <c r="AL11" s="40"/>
      <c r="AM11" s="41"/>
      <c r="AO11" s="34"/>
      <c r="AP11" s="40"/>
      <c r="AQ11" s="41"/>
      <c r="AS11" s="34"/>
      <c r="AT11" s="40"/>
      <c r="AU11" s="41"/>
      <c r="AW11" s="34"/>
      <c r="AX11" s="40"/>
      <c r="AY11" s="41"/>
      <c r="BA11" s="34"/>
      <c r="BB11" s="40"/>
      <c r="BC11" s="41"/>
      <c r="BE11" s="34"/>
      <c r="BF11" s="40"/>
      <c r="BG11" s="41"/>
      <c r="BI11" s="34"/>
      <c r="BJ11" s="40"/>
      <c r="BK11" s="41"/>
      <c r="BM11" s="38">
        <f t="shared" si="0"/>
        <v>0</v>
      </c>
      <c r="BN11" s="19"/>
    </row>
    <row r="12" spans="1:66" ht="15.75" hidden="1" x14ac:dyDescent="0.25">
      <c r="A12" s="29">
        <v>10</v>
      </c>
      <c r="B12" s="30" t="s">
        <v>240</v>
      </c>
      <c r="C12" s="13" t="s">
        <v>258</v>
      </c>
      <c r="D12" s="18" t="s">
        <v>259</v>
      </c>
      <c r="E12" s="16">
        <v>142</v>
      </c>
      <c r="F12" s="33">
        <v>10</v>
      </c>
      <c r="G12" s="16"/>
      <c r="I12" s="34"/>
      <c r="J12" s="35"/>
      <c r="K12" s="36"/>
      <c r="L12" s="19"/>
      <c r="M12" s="34"/>
      <c r="N12" s="40"/>
      <c r="O12" s="41"/>
      <c r="P12" s="19"/>
      <c r="Q12" s="34"/>
      <c r="R12" s="40"/>
      <c r="S12" s="41"/>
      <c r="T12" s="19"/>
      <c r="U12" s="34"/>
      <c r="V12" s="40"/>
      <c r="W12" s="41"/>
      <c r="X12" s="19"/>
      <c r="Y12" s="34"/>
      <c r="Z12" s="40"/>
      <c r="AA12" s="41"/>
      <c r="AB12" s="19"/>
      <c r="AC12" s="34"/>
      <c r="AD12" s="40"/>
      <c r="AE12" s="41"/>
      <c r="AG12" s="34"/>
      <c r="AH12" s="40"/>
      <c r="AI12" s="41"/>
      <c r="AK12" s="34"/>
      <c r="AL12" s="40"/>
      <c r="AM12" s="41"/>
      <c r="AO12" s="34"/>
      <c r="AP12" s="40"/>
      <c r="AQ12" s="41"/>
      <c r="AS12" s="34"/>
      <c r="AT12" s="40"/>
      <c r="AU12" s="41"/>
      <c r="AW12" s="34"/>
      <c r="AX12" s="40"/>
      <c r="AY12" s="41"/>
      <c r="BA12" s="34"/>
      <c r="BB12" s="40"/>
      <c r="BC12" s="41"/>
      <c r="BE12" s="34"/>
      <c r="BF12" s="40"/>
      <c r="BG12" s="41"/>
      <c r="BI12" s="34"/>
      <c r="BJ12" s="40"/>
      <c r="BK12" s="41"/>
      <c r="BM12" s="38">
        <f t="shared" si="0"/>
        <v>0</v>
      </c>
      <c r="BN12" s="19"/>
    </row>
    <row r="13" spans="1:66" ht="15.75" hidden="1" x14ac:dyDescent="0.25">
      <c r="A13" s="29">
        <v>11</v>
      </c>
      <c r="B13" s="30" t="s">
        <v>240</v>
      </c>
      <c r="C13" s="13" t="s">
        <v>260</v>
      </c>
      <c r="D13" s="18" t="s">
        <v>261</v>
      </c>
      <c r="E13" s="16">
        <v>137</v>
      </c>
      <c r="F13" s="33">
        <v>11</v>
      </c>
      <c r="G13" s="16"/>
      <c r="I13" s="34"/>
      <c r="J13" s="35"/>
      <c r="K13" s="36"/>
      <c r="L13" s="19"/>
      <c r="M13" s="34"/>
      <c r="N13" s="40"/>
      <c r="O13" s="37"/>
      <c r="P13" s="19"/>
      <c r="Q13" s="34"/>
      <c r="R13" s="40"/>
      <c r="S13" s="37"/>
      <c r="T13" s="19"/>
      <c r="U13" s="34"/>
      <c r="V13" s="40"/>
      <c r="W13" s="37"/>
      <c r="X13" s="19"/>
      <c r="Y13" s="34"/>
      <c r="Z13" s="40"/>
      <c r="AA13" s="37"/>
      <c r="AB13" s="19"/>
      <c r="AC13" s="34"/>
      <c r="AD13" s="40"/>
      <c r="AE13" s="37"/>
      <c r="AG13" s="34"/>
      <c r="AH13" s="40"/>
      <c r="AI13" s="37"/>
      <c r="AK13" s="34"/>
      <c r="AL13" s="40"/>
      <c r="AM13" s="37"/>
      <c r="AO13" s="34"/>
      <c r="AP13" s="40"/>
      <c r="AQ13" s="37"/>
      <c r="AS13" s="34"/>
      <c r="AT13" s="40"/>
      <c r="AU13" s="37"/>
      <c r="AW13" s="34"/>
      <c r="AX13" s="40"/>
      <c r="AY13" s="37"/>
      <c r="BA13" s="34"/>
      <c r="BB13" s="40"/>
      <c r="BC13" s="37"/>
      <c r="BE13" s="34"/>
      <c r="BF13" s="40"/>
      <c r="BG13" s="37"/>
      <c r="BI13" s="34"/>
      <c r="BJ13" s="40"/>
      <c r="BK13" s="37"/>
      <c r="BM13" s="38">
        <f t="shared" si="0"/>
        <v>0</v>
      </c>
      <c r="BN13" s="19"/>
    </row>
    <row r="14" spans="1:66" ht="15.75" hidden="1" x14ac:dyDescent="0.25">
      <c r="A14" s="29">
        <v>12</v>
      </c>
      <c r="B14" s="30" t="s">
        <v>240</v>
      </c>
      <c r="C14" s="43" t="s">
        <v>262</v>
      </c>
      <c r="D14" s="44"/>
      <c r="E14" s="20">
        <v>105</v>
      </c>
      <c r="F14" s="45">
        <v>12</v>
      </c>
      <c r="G14" s="16"/>
      <c r="I14" s="34">
        <v>481</v>
      </c>
      <c r="J14" s="35">
        <v>45987</v>
      </c>
      <c r="K14" s="36" t="s">
        <v>263</v>
      </c>
      <c r="L14" s="19"/>
      <c r="M14" s="34"/>
      <c r="N14" s="40"/>
      <c r="O14" s="41"/>
      <c r="P14" s="19"/>
      <c r="Q14" s="34"/>
      <c r="R14" s="40"/>
      <c r="S14" s="41"/>
      <c r="T14" s="19"/>
      <c r="U14" s="34"/>
      <c r="V14" s="40"/>
      <c r="W14" s="41"/>
      <c r="X14" s="19"/>
      <c r="Y14" s="34"/>
      <c r="Z14" s="40"/>
      <c r="AA14" s="41"/>
      <c r="AB14" s="19"/>
      <c r="AC14" s="34"/>
      <c r="AD14" s="40"/>
      <c r="AE14" s="41"/>
      <c r="AG14" s="34"/>
      <c r="AH14" s="40"/>
      <c r="AI14" s="41"/>
      <c r="AK14" s="34"/>
      <c r="AL14" s="40"/>
      <c r="AM14" s="41"/>
      <c r="AO14" s="34"/>
      <c r="AP14" s="40"/>
      <c r="AQ14" s="41"/>
      <c r="AS14" s="34"/>
      <c r="AT14" s="40"/>
      <c r="AU14" s="41"/>
      <c r="AW14" s="34"/>
      <c r="AX14" s="40"/>
      <c r="AY14" s="41"/>
      <c r="BA14" s="34"/>
      <c r="BB14" s="40"/>
      <c r="BC14" s="41"/>
      <c r="BE14" s="34"/>
      <c r="BF14" s="40"/>
      <c r="BG14" s="41"/>
      <c r="BI14" s="34"/>
      <c r="BJ14" s="40"/>
      <c r="BK14" s="41"/>
      <c r="BM14" s="38">
        <f t="shared" si="0"/>
        <v>0</v>
      </c>
      <c r="BN14" s="19"/>
    </row>
    <row r="15" spans="1:66" ht="15.75" hidden="1" x14ac:dyDescent="0.25">
      <c r="A15" s="29">
        <v>13</v>
      </c>
      <c r="B15" s="30" t="s">
        <v>240</v>
      </c>
      <c r="C15" s="12" t="s">
        <v>264</v>
      </c>
      <c r="D15" s="18"/>
      <c r="E15" s="16">
        <v>109</v>
      </c>
      <c r="F15" s="33">
        <v>13</v>
      </c>
      <c r="G15" s="46" t="s">
        <v>265</v>
      </c>
      <c r="I15" s="34">
        <v>460</v>
      </c>
      <c r="J15" s="35">
        <v>45981</v>
      </c>
      <c r="K15" s="36" t="s">
        <v>263</v>
      </c>
      <c r="L15" s="19"/>
      <c r="M15" s="34">
        <v>467</v>
      </c>
      <c r="N15" s="40">
        <v>45987</v>
      </c>
      <c r="O15" s="41" t="s">
        <v>263</v>
      </c>
      <c r="P15" s="19"/>
      <c r="Q15" s="34"/>
      <c r="R15" s="40"/>
      <c r="S15" s="41"/>
      <c r="T15" s="19"/>
      <c r="U15" s="34"/>
      <c r="V15" s="40"/>
      <c r="W15" s="41"/>
      <c r="X15" s="19"/>
      <c r="Y15" s="34"/>
      <c r="Z15" s="40"/>
      <c r="AA15" s="41"/>
      <c r="AB15" s="19"/>
      <c r="AC15" s="34"/>
      <c r="AD15" s="40"/>
      <c r="AE15" s="41"/>
      <c r="AG15" s="34"/>
      <c r="AH15" s="40"/>
      <c r="AI15" s="41"/>
      <c r="AK15" s="34"/>
      <c r="AL15" s="40"/>
      <c r="AM15" s="41"/>
      <c r="AO15" s="34"/>
      <c r="AP15" s="40"/>
      <c r="AQ15" s="41"/>
      <c r="AS15" s="34"/>
      <c r="AT15" s="40"/>
      <c r="AU15" s="41"/>
      <c r="AW15" s="34"/>
      <c r="AX15" s="40"/>
      <c r="AY15" s="41"/>
      <c r="BA15" s="34"/>
      <c r="BB15" s="40"/>
      <c r="BC15" s="41"/>
      <c r="BE15" s="34"/>
      <c r="BF15" s="40"/>
      <c r="BG15" s="41"/>
      <c r="BI15" s="34"/>
      <c r="BJ15" s="40"/>
      <c r="BK15" s="41"/>
      <c r="BM15" s="38">
        <f t="shared" si="0"/>
        <v>0</v>
      </c>
      <c r="BN15" s="19"/>
    </row>
    <row r="16" spans="1:66" ht="15.75" hidden="1" x14ac:dyDescent="0.25">
      <c r="A16" s="29">
        <v>14</v>
      </c>
      <c r="B16" s="30" t="s">
        <v>240</v>
      </c>
      <c r="C16" s="47" t="s">
        <v>266</v>
      </c>
      <c r="D16" s="48" t="s">
        <v>267</v>
      </c>
      <c r="E16" s="47">
        <v>162</v>
      </c>
      <c r="F16" s="49">
        <v>14</v>
      </c>
      <c r="G16" s="46" t="s">
        <v>265</v>
      </c>
      <c r="I16" s="34" t="s">
        <v>268</v>
      </c>
      <c r="J16" s="35">
        <v>45509</v>
      </c>
      <c r="K16" s="36" t="s">
        <v>265</v>
      </c>
      <c r="L16" s="19"/>
      <c r="M16" s="34"/>
      <c r="N16" s="40"/>
      <c r="O16" s="41"/>
      <c r="P16" s="19"/>
      <c r="Q16" s="34"/>
      <c r="R16" s="40"/>
      <c r="S16" s="41"/>
      <c r="T16" s="19"/>
      <c r="U16" s="34"/>
      <c r="V16" s="40"/>
      <c r="W16" s="41"/>
      <c r="X16" s="19"/>
      <c r="Y16" s="34"/>
      <c r="Z16" s="40"/>
      <c r="AA16" s="41"/>
      <c r="AB16" s="19"/>
      <c r="AC16" s="34"/>
      <c r="AD16" s="40"/>
      <c r="AE16" s="41"/>
      <c r="AG16" s="34"/>
      <c r="AH16" s="40"/>
      <c r="AI16" s="41"/>
      <c r="AK16" s="34"/>
      <c r="AL16" s="40"/>
      <c r="AM16" s="41"/>
      <c r="AO16" s="34"/>
      <c r="AP16" s="40"/>
      <c r="AQ16" s="41"/>
      <c r="AS16" s="34"/>
      <c r="AT16" s="40"/>
      <c r="AU16" s="41"/>
      <c r="AW16" s="34"/>
      <c r="AX16" s="40"/>
      <c r="AY16" s="41"/>
      <c r="BA16" s="34"/>
      <c r="BB16" s="40"/>
      <c r="BC16" s="41"/>
      <c r="BE16" s="34"/>
      <c r="BF16" s="40"/>
      <c r="BG16" s="41"/>
      <c r="BI16" s="34"/>
      <c r="BJ16" s="40"/>
      <c r="BK16" s="41"/>
      <c r="BM16" s="38">
        <f t="shared" si="0"/>
        <v>0</v>
      </c>
      <c r="BN16" s="19"/>
    </row>
    <row r="17" spans="1:66" ht="15.75" hidden="1" x14ac:dyDescent="0.25">
      <c r="A17" s="29">
        <v>15</v>
      </c>
      <c r="B17" s="30" t="s">
        <v>240</v>
      </c>
      <c r="C17" s="13" t="s">
        <v>269</v>
      </c>
      <c r="D17" s="18" t="s">
        <v>242</v>
      </c>
      <c r="E17" s="16">
        <v>161</v>
      </c>
      <c r="F17" s="33">
        <v>15</v>
      </c>
      <c r="G17" s="46" t="s">
        <v>265</v>
      </c>
      <c r="I17" s="34">
        <v>328</v>
      </c>
      <c r="J17" s="35">
        <v>45769</v>
      </c>
      <c r="K17" s="36" t="s">
        <v>265</v>
      </c>
      <c r="L17" s="19"/>
      <c r="M17" s="34">
        <v>468</v>
      </c>
      <c r="N17" s="40">
        <v>45987</v>
      </c>
      <c r="O17" s="41" t="s">
        <v>263</v>
      </c>
      <c r="P17" s="19"/>
      <c r="Q17" s="34"/>
      <c r="R17" s="40"/>
      <c r="S17" s="41"/>
      <c r="T17" s="19"/>
      <c r="U17" s="34"/>
      <c r="V17" s="40"/>
      <c r="W17" s="41"/>
      <c r="X17" s="19"/>
      <c r="Y17" s="34"/>
      <c r="Z17" s="40"/>
      <c r="AA17" s="41"/>
      <c r="AB17" s="19"/>
      <c r="AC17" s="34"/>
      <c r="AD17" s="40"/>
      <c r="AE17" s="41"/>
      <c r="AG17" s="34"/>
      <c r="AH17" s="40"/>
      <c r="AI17" s="41"/>
      <c r="AK17" s="34"/>
      <c r="AL17" s="40"/>
      <c r="AM17" s="41"/>
      <c r="AO17" s="34"/>
      <c r="AP17" s="40"/>
      <c r="AQ17" s="41"/>
      <c r="AS17" s="34"/>
      <c r="AT17" s="40"/>
      <c r="AU17" s="41"/>
      <c r="AW17" s="34"/>
      <c r="AX17" s="40"/>
      <c r="AY17" s="41"/>
      <c r="BA17" s="34"/>
      <c r="BB17" s="40"/>
      <c r="BC17" s="41"/>
      <c r="BE17" s="34"/>
      <c r="BF17" s="40"/>
      <c r="BG17" s="41"/>
      <c r="BI17" s="34"/>
      <c r="BJ17" s="40"/>
      <c r="BK17" s="41"/>
      <c r="BM17" s="38">
        <f t="shared" si="0"/>
        <v>0</v>
      </c>
      <c r="BN17" s="19"/>
    </row>
    <row r="18" spans="1:66" ht="15.75" hidden="1" x14ac:dyDescent="0.25">
      <c r="A18" s="29">
        <v>16</v>
      </c>
      <c r="B18" s="30" t="s">
        <v>240</v>
      </c>
      <c r="C18" s="13" t="s">
        <v>270</v>
      </c>
      <c r="D18" s="18" t="s">
        <v>242</v>
      </c>
      <c r="E18" s="16">
        <v>160</v>
      </c>
      <c r="F18" s="33">
        <v>16</v>
      </c>
      <c r="G18" s="46" t="s">
        <v>265</v>
      </c>
      <c r="I18" s="34">
        <v>394</v>
      </c>
      <c r="J18" s="35">
        <v>45871</v>
      </c>
      <c r="K18" s="36" t="s">
        <v>265</v>
      </c>
      <c r="L18" s="19"/>
      <c r="M18" s="34">
        <v>469</v>
      </c>
      <c r="N18" s="40">
        <v>45987</v>
      </c>
      <c r="O18" s="41" t="s">
        <v>263</v>
      </c>
      <c r="P18" s="19"/>
      <c r="Q18" s="34"/>
      <c r="R18" s="40"/>
      <c r="S18" s="41"/>
      <c r="T18" s="19"/>
      <c r="U18" s="34"/>
      <c r="V18" s="40"/>
      <c r="W18" s="41"/>
      <c r="X18" s="19"/>
      <c r="Y18" s="34"/>
      <c r="Z18" s="40"/>
      <c r="AA18" s="41"/>
      <c r="AB18" s="19"/>
      <c r="AC18" s="34"/>
      <c r="AD18" s="40"/>
      <c r="AE18" s="41"/>
      <c r="AG18" s="34"/>
      <c r="AH18" s="40"/>
      <c r="AI18" s="41"/>
      <c r="AK18" s="34"/>
      <c r="AL18" s="40"/>
      <c r="AM18" s="41"/>
      <c r="AO18" s="34"/>
      <c r="AP18" s="40"/>
      <c r="AQ18" s="41"/>
      <c r="AS18" s="34"/>
      <c r="AT18" s="40"/>
      <c r="AU18" s="41"/>
      <c r="AW18" s="34"/>
      <c r="AX18" s="40"/>
      <c r="AY18" s="41"/>
      <c r="BA18" s="34"/>
      <c r="BB18" s="40"/>
      <c r="BC18" s="41"/>
      <c r="BE18" s="34"/>
      <c r="BF18" s="40"/>
      <c r="BG18" s="41"/>
      <c r="BI18" s="34"/>
      <c r="BJ18" s="40"/>
      <c r="BK18" s="41"/>
      <c r="BM18" s="38">
        <f t="shared" si="0"/>
        <v>0</v>
      </c>
      <c r="BN18" s="19"/>
    </row>
    <row r="19" spans="1:66" ht="15.75" hidden="1" x14ac:dyDescent="0.25">
      <c r="A19" s="29">
        <v>17</v>
      </c>
      <c r="B19" s="30" t="s">
        <v>240</v>
      </c>
      <c r="C19" s="12" t="s">
        <v>271</v>
      </c>
      <c r="D19" s="5" t="s">
        <v>272</v>
      </c>
      <c r="E19" s="50">
        <v>159</v>
      </c>
      <c r="F19" s="51">
        <v>17</v>
      </c>
      <c r="G19" s="50"/>
      <c r="I19" s="52">
        <v>50</v>
      </c>
      <c r="J19" s="53">
        <v>45603</v>
      </c>
      <c r="K19" s="54">
        <v>10000000</v>
      </c>
      <c r="L19" s="19"/>
      <c r="M19" s="34"/>
      <c r="N19" s="40"/>
      <c r="O19" s="41"/>
      <c r="P19" s="19"/>
      <c r="Q19" s="34"/>
      <c r="R19" s="40"/>
      <c r="S19" s="41"/>
      <c r="T19" s="19"/>
      <c r="U19" s="34"/>
      <c r="V19" s="40"/>
      <c r="W19" s="41"/>
      <c r="X19" s="19"/>
      <c r="Y19" s="34"/>
      <c r="Z19" s="40"/>
      <c r="AA19" s="41"/>
      <c r="AB19" s="19"/>
      <c r="AC19" s="34"/>
      <c r="AD19" s="40"/>
      <c r="AE19" s="41"/>
      <c r="AG19" s="34"/>
      <c r="AH19" s="40"/>
      <c r="AI19" s="41"/>
      <c r="AK19" s="34"/>
      <c r="AL19" s="40"/>
      <c r="AM19" s="41"/>
      <c r="AO19" s="34"/>
      <c r="AP19" s="40"/>
      <c r="AQ19" s="41"/>
      <c r="AS19" s="34"/>
      <c r="AT19" s="40"/>
      <c r="AU19" s="41"/>
      <c r="AW19" s="34"/>
      <c r="AX19" s="40"/>
      <c r="AY19" s="41"/>
      <c r="BA19" s="34"/>
      <c r="BB19" s="40"/>
      <c r="BC19" s="41"/>
      <c r="BE19" s="34"/>
      <c r="BF19" s="40"/>
      <c r="BG19" s="41"/>
      <c r="BI19" s="34"/>
      <c r="BJ19" s="40"/>
      <c r="BK19" s="41"/>
      <c r="BM19" s="38">
        <f t="shared" si="0"/>
        <v>10000000</v>
      </c>
      <c r="BN19" s="19"/>
    </row>
    <row r="20" spans="1:66" ht="15.75" hidden="1" x14ac:dyDescent="0.25">
      <c r="A20" s="29">
        <v>18</v>
      </c>
      <c r="B20" s="30" t="s">
        <v>240</v>
      </c>
      <c r="C20" s="13" t="s">
        <v>273</v>
      </c>
      <c r="D20" s="18" t="s">
        <v>242</v>
      </c>
      <c r="E20" s="16">
        <v>158</v>
      </c>
      <c r="F20" s="33">
        <v>18</v>
      </c>
      <c r="G20" s="55" t="s">
        <v>265</v>
      </c>
      <c r="I20" s="34" t="s">
        <v>274</v>
      </c>
      <c r="J20" s="35">
        <v>45796</v>
      </c>
      <c r="K20" s="36" t="s">
        <v>265</v>
      </c>
      <c r="L20" s="19"/>
      <c r="M20" s="34"/>
      <c r="N20" s="40"/>
      <c r="O20" s="41"/>
      <c r="P20" s="19"/>
      <c r="Q20" s="34"/>
      <c r="R20" s="40"/>
      <c r="S20" s="41"/>
      <c r="T20" s="19"/>
      <c r="U20" s="34"/>
      <c r="V20" s="40"/>
      <c r="W20" s="41"/>
      <c r="X20" s="19"/>
      <c r="Y20" s="34"/>
      <c r="Z20" s="40"/>
      <c r="AA20" s="41"/>
      <c r="AB20" s="19"/>
      <c r="AC20" s="34"/>
      <c r="AD20" s="40"/>
      <c r="AE20" s="41"/>
      <c r="AG20" s="34"/>
      <c r="AH20" s="40"/>
      <c r="AI20" s="41"/>
      <c r="AK20" s="34"/>
      <c r="AL20" s="40"/>
      <c r="AM20" s="41"/>
      <c r="AO20" s="34"/>
      <c r="AP20" s="40"/>
      <c r="AQ20" s="41"/>
      <c r="AS20" s="34"/>
      <c r="AT20" s="40"/>
      <c r="AU20" s="41"/>
      <c r="AW20" s="34"/>
      <c r="AX20" s="40"/>
      <c r="AY20" s="41"/>
      <c r="BA20" s="34"/>
      <c r="BB20" s="40"/>
      <c r="BC20" s="41"/>
      <c r="BE20" s="34"/>
      <c r="BF20" s="40"/>
      <c r="BG20" s="41"/>
      <c r="BI20" s="34"/>
      <c r="BJ20" s="40"/>
      <c r="BK20" s="41"/>
      <c r="BM20" s="38">
        <f t="shared" si="0"/>
        <v>0</v>
      </c>
      <c r="BN20" s="19"/>
    </row>
    <row r="21" spans="1:66" ht="15.75" hidden="1" x14ac:dyDescent="0.25">
      <c r="A21" s="29">
        <v>19</v>
      </c>
      <c r="B21" s="30" t="s">
        <v>240</v>
      </c>
      <c r="C21" s="13" t="s">
        <v>270</v>
      </c>
      <c r="D21" s="18" t="s">
        <v>242</v>
      </c>
      <c r="E21" s="16">
        <v>157</v>
      </c>
      <c r="F21" s="33">
        <v>19</v>
      </c>
      <c r="G21" s="56" t="s">
        <v>265</v>
      </c>
      <c r="I21" s="34">
        <v>395</v>
      </c>
      <c r="J21" s="35">
        <v>45871</v>
      </c>
      <c r="K21" s="36" t="s">
        <v>265</v>
      </c>
      <c r="L21" s="19"/>
      <c r="M21" s="34">
        <v>470</v>
      </c>
      <c r="N21" s="40">
        <v>45987</v>
      </c>
      <c r="O21" s="41" t="s">
        <v>263</v>
      </c>
      <c r="P21" s="19"/>
      <c r="Q21" s="34"/>
      <c r="R21" s="40"/>
      <c r="S21" s="41"/>
      <c r="T21" s="19"/>
      <c r="U21" s="34"/>
      <c r="V21" s="40"/>
      <c r="W21" s="41"/>
      <c r="X21" s="19"/>
      <c r="Y21" s="34"/>
      <c r="Z21" s="40"/>
      <c r="AA21" s="41"/>
      <c r="AB21" s="19"/>
      <c r="AC21" s="34"/>
      <c r="AD21" s="40"/>
      <c r="AE21" s="41"/>
      <c r="AG21" s="34"/>
      <c r="AH21" s="40"/>
      <c r="AI21" s="41"/>
      <c r="AK21" s="34"/>
      <c r="AL21" s="40"/>
      <c r="AM21" s="41"/>
      <c r="AO21" s="34"/>
      <c r="AP21" s="40"/>
      <c r="AQ21" s="41"/>
      <c r="AS21" s="34"/>
      <c r="AT21" s="40"/>
      <c r="AU21" s="41"/>
      <c r="AW21" s="34"/>
      <c r="AX21" s="40"/>
      <c r="AY21" s="41"/>
      <c r="BA21" s="34"/>
      <c r="BB21" s="40"/>
      <c r="BC21" s="41"/>
      <c r="BE21" s="34"/>
      <c r="BF21" s="40"/>
      <c r="BG21" s="41"/>
      <c r="BI21" s="34"/>
      <c r="BJ21" s="40"/>
      <c r="BK21" s="41"/>
      <c r="BM21" s="38">
        <f t="shared" si="0"/>
        <v>0</v>
      </c>
      <c r="BN21" s="19"/>
    </row>
    <row r="22" spans="1:66" ht="15.75" hidden="1" x14ac:dyDescent="0.25">
      <c r="A22" s="29">
        <v>20</v>
      </c>
      <c r="B22" s="30" t="s">
        <v>240</v>
      </c>
      <c r="C22" s="43" t="s">
        <v>275</v>
      </c>
      <c r="D22" s="44"/>
      <c r="E22" s="20">
        <v>6</v>
      </c>
      <c r="F22" s="45">
        <v>20</v>
      </c>
      <c r="G22" s="16"/>
      <c r="I22" s="34">
        <v>471</v>
      </c>
      <c r="J22" s="35">
        <v>45987</v>
      </c>
      <c r="K22" s="36" t="s">
        <v>263</v>
      </c>
      <c r="L22" s="19"/>
      <c r="M22" s="34"/>
      <c r="N22" s="40"/>
      <c r="O22" s="41"/>
      <c r="P22" s="19"/>
      <c r="Q22" s="34"/>
      <c r="R22" s="40"/>
      <c r="S22" s="41"/>
      <c r="T22" s="19"/>
      <c r="U22" s="34"/>
      <c r="V22" s="40"/>
      <c r="W22" s="41"/>
      <c r="X22" s="19"/>
      <c r="Y22" s="34"/>
      <c r="Z22" s="40"/>
      <c r="AA22" s="41"/>
      <c r="AB22" s="19"/>
      <c r="AC22" s="34"/>
      <c r="AD22" s="40"/>
      <c r="AE22" s="41"/>
      <c r="AG22" s="34"/>
      <c r="AH22" s="40"/>
      <c r="AI22" s="41"/>
      <c r="AK22" s="34"/>
      <c r="AL22" s="40"/>
      <c r="AM22" s="41"/>
      <c r="AO22" s="34"/>
      <c r="AP22" s="40"/>
      <c r="AQ22" s="41"/>
      <c r="AS22" s="34"/>
      <c r="AT22" s="40"/>
      <c r="AU22" s="41"/>
      <c r="AW22" s="34"/>
      <c r="AX22" s="40"/>
      <c r="AY22" s="41"/>
      <c r="BA22" s="34"/>
      <c r="BB22" s="40"/>
      <c r="BC22" s="41"/>
      <c r="BE22" s="34"/>
      <c r="BF22" s="40"/>
      <c r="BG22" s="41"/>
      <c r="BI22" s="34"/>
      <c r="BJ22" s="40"/>
      <c r="BK22" s="41"/>
      <c r="BM22" s="38">
        <f t="shared" si="0"/>
        <v>0</v>
      </c>
      <c r="BN22" s="19"/>
    </row>
    <row r="23" spans="1:66" ht="15.75" hidden="1" x14ac:dyDescent="0.25">
      <c r="A23" s="29">
        <v>21</v>
      </c>
      <c r="B23" s="30" t="s">
        <v>240</v>
      </c>
      <c r="C23" s="13" t="s">
        <v>276</v>
      </c>
      <c r="D23" s="5" t="s">
        <v>242</v>
      </c>
      <c r="E23" s="16">
        <v>25</v>
      </c>
      <c r="F23" s="33">
        <v>21</v>
      </c>
      <c r="G23" s="16"/>
      <c r="I23" s="34"/>
      <c r="J23" s="35"/>
      <c r="K23" s="36"/>
      <c r="L23" s="19"/>
      <c r="M23" s="34"/>
      <c r="N23" s="40"/>
      <c r="O23" s="41"/>
      <c r="P23" s="19"/>
      <c r="Q23" s="34"/>
      <c r="R23" s="40"/>
      <c r="S23" s="41"/>
      <c r="T23" s="19"/>
      <c r="U23" s="34"/>
      <c r="V23" s="40"/>
      <c r="W23" s="41"/>
      <c r="X23" s="19"/>
      <c r="Y23" s="34"/>
      <c r="Z23" s="40"/>
      <c r="AA23" s="41"/>
      <c r="AB23" s="19"/>
      <c r="AC23" s="34"/>
      <c r="AD23" s="40"/>
      <c r="AE23" s="41"/>
      <c r="AG23" s="34"/>
      <c r="AH23" s="40"/>
      <c r="AI23" s="41"/>
      <c r="AK23" s="34"/>
      <c r="AL23" s="40"/>
      <c r="AM23" s="41"/>
      <c r="AO23" s="34"/>
      <c r="AP23" s="40"/>
      <c r="AQ23" s="41"/>
      <c r="AS23" s="34"/>
      <c r="AT23" s="40"/>
      <c r="AU23" s="41"/>
      <c r="AW23" s="34"/>
      <c r="AX23" s="40"/>
      <c r="AY23" s="41"/>
      <c r="BA23" s="34"/>
      <c r="BB23" s="40"/>
      <c r="BC23" s="41"/>
      <c r="BE23" s="34"/>
      <c r="BF23" s="40"/>
      <c r="BG23" s="41"/>
      <c r="BI23" s="34"/>
      <c r="BJ23" s="40"/>
      <c r="BK23" s="41"/>
      <c r="BM23" s="38">
        <f t="shared" si="0"/>
        <v>0</v>
      </c>
      <c r="BN23" s="19"/>
    </row>
    <row r="24" spans="1:66" ht="15.75" hidden="1" x14ac:dyDescent="0.25">
      <c r="A24" s="29">
        <v>22</v>
      </c>
      <c r="B24" s="30" t="s">
        <v>240</v>
      </c>
      <c r="C24" s="43" t="s">
        <v>275</v>
      </c>
      <c r="D24" s="44"/>
      <c r="E24" s="20">
        <v>124</v>
      </c>
      <c r="F24" s="45">
        <v>22</v>
      </c>
      <c r="G24" s="16"/>
      <c r="I24" s="34">
        <v>473</v>
      </c>
      <c r="J24" s="35">
        <v>45987</v>
      </c>
      <c r="K24" s="36" t="s">
        <v>263</v>
      </c>
      <c r="L24" s="19"/>
      <c r="M24" s="34"/>
      <c r="N24" s="40"/>
      <c r="O24" s="41"/>
      <c r="P24" s="19"/>
      <c r="Q24" s="34"/>
      <c r="R24" s="40"/>
      <c r="S24" s="41"/>
      <c r="T24" s="19"/>
      <c r="U24" s="34"/>
      <c r="V24" s="40"/>
      <c r="W24" s="41"/>
      <c r="X24" s="19"/>
      <c r="Y24" s="34"/>
      <c r="Z24" s="40"/>
      <c r="AA24" s="41"/>
      <c r="AB24" s="19"/>
      <c r="AC24" s="34"/>
      <c r="AD24" s="40"/>
      <c r="AE24" s="41"/>
      <c r="AG24" s="34"/>
      <c r="AH24" s="40"/>
      <c r="AI24" s="41"/>
      <c r="AK24" s="34"/>
      <c r="AL24" s="40"/>
      <c r="AM24" s="41"/>
      <c r="AO24" s="34"/>
      <c r="AP24" s="40"/>
      <c r="AQ24" s="41"/>
      <c r="AS24" s="34"/>
      <c r="AT24" s="40"/>
      <c r="AU24" s="41"/>
      <c r="AW24" s="34"/>
      <c r="AX24" s="40"/>
      <c r="AY24" s="41"/>
      <c r="BA24" s="34"/>
      <c r="BB24" s="40"/>
      <c r="BC24" s="41"/>
      <c r="BE24" s="34"/>
      <c r="BF24" s="40"/>
      <c r="BG24" s="41"/>
      <c r="BI24" s="34"/>
      <c r="BJ24" s="40"/>
      <c r="BK24" s="41"/>
      <c r="BM24" s="38">
        <f t="shared" si="0"/>
        <v>0</v>
      </c>
      <c r="BN24" s="19"/>
    </row>
    <row r="25" spans="1:66" ht="15.75" hidden="1" x14ac:dyDescent="0.25">
      <c r="A25" s="29">
        <v>23</v>
      </c>
      <c r="B25" s="57" t="s">
        <v>277</v>
      </c>
      <c r="C25" s="13" t="s">
        <v>278</v>
      </c>
      <c r="D25" s="18" t="s">
        <v>279</v>
      </c>
      <c r="E25" s="16">
        <v>136</v>
      </c>
      <c r="F25" s="33">
        <v>23</v>
      </c>
      <c r="G25" s="16"/>
      <c r="I25" s="34"/>
      <c r="J25" s="35"/>
      <c r="K25" s="36"/>
      <c r="L25" s="19"/>
      <c r="M25" s="34"/>
      <c r="N25" s="40"/>
      <c r="O25" s="41"/>
      <c r="P25" s="19"/>
      <c r="Q25" s="34"/>
      <c r="R25" s="40"/>
      <c r="S25" s="41"/>
      <c r="T25" s="19"/>
      <c r="U25" s="34"/>
      <c r="V25" s="40"/>
      <c r="W25" s="41"/>
      <c r="X25" s="19"/>
      <c r="Y25" s="34"/>
      <c r="Z25" s="40"/>
      <c r="AA25" s="41"/>
      <c r="AB25" s="19"/>
      <c r="AC25" s="34"/>
      <c r="AD25" s="40"/>
      <c r="AE25" s="41"/>
      <c r="AG25" s="34"/>
      <c r="AH25" s="40"/>
      <c r="AI25" s="41"/>
      <c r="AK25" s="34"/>
      <c r="AL25" s="40"/>
      <c r="AM25" s="41"/>
      <c r="AO25" s="34"/>
      <c r="AP25" s="40"/>
      <c r="AQ25" s="41"/>
      <c r="AS25" s="34"/>
      <c r="AT25" s="40"/>
      <c r="AU25" s="41"/>
      <c r="AW25" s="34"/>
      <c r="AX25" s="40"/>
      <c r="AY25" s="41"/>
      <c r="BA25" s="34"/>
      <c r="BB25" s="40"/>
      <c r="BC25" s="41"/>
      <c r="BE25" s="34"/>
      <c r="BF25" s="40"/>
      <c r="BG25" s="41"/>
      <c r="BI25" s="34"/>
      <c r="BJ25" s="40"/>
      <c r="BK25" s="41"/>
      <c r="BM25" s="38">
        <f t="shared" si="0"/>
        <v>0</v>
      </c>
      <c r="BN25" s="19"/>
    </row>
    <row r="26" spans="1:66" ht="15.75" hidden="1" x14ac:dyDescent="0.25">
      <c r="A26" s="29">
        <v>24</v>
      </c>
      <c r="B26" s="57" t="s">
        <v>277</v>
      </c>
      <c r="C26" s="12" t="s">
        <v>280</v>
      </c>
      <c r="D26" s="5" t="s">
        <v>281</v>
      </c>
      <c r="E26" s="50">
        <v>141</v>
      </c>
      <c r="F26" s="51">
        <v>24</v>
      </c>
      <c r="G26" s="50"/>
      <c r="I26" s="52"/>
      <c r="J26" s="53"/>
      <c r="K26" s="54"/>
      <c r="L26" s="58"/>
      <c r="M26" s="52"/>
      <c r="N26" s="59"/>
      <c r="O26" s="60"/>
      <c r="P26" s="19"/>
      <c r="Q26" s="34"/>
      <c r="R26" s="40"/>
      <c r="S26" s="41"/>
      <c r="T26" s="19"/>
      <c r="U26" s="34"/>
      <c r="V26" s="40"/>
      <c r="W26" s="41"/>
      <c r="X26" s="19"/>
      <c r="Y26" s="34"/>
      <c r="Z26" s="40"/>
      <c r="AA26" s="41"/>
      <c r="AB26" s="19"/>
      <c r="AC26" s="34"/>
      <c r="AD26" s="40"/>
      <c r="AE26" s="41"/>
      <c r="AG26" s="34"/>
      <c r="AH26" s="40"/>
      <c r="AI26" s="41"/>
      <c r="AK26" s="34"/>
      <c r="AL26" s="40"/>
      <c r="AM26" s="41"/>
      <c r="AO26" s="34"/>
      <c r="AP26" s="40"/>
      <c r="AQ26" s="41"/>
      <c r="AS26" s="34"/>
      <c r="AT26" s="40"/>
      <c r="AU26" s="41"/>
      <c r="AW26" s="34"/>
      <c r="AX26" s="40"/>
      <c r="AY26" s="41"/>
      <c r="BA26" s="34"/>
      <c r="BB26" s="40"/>
      <c r="BC26" s="41"/>
      <c r="BE26" s="34"/>
      <c r="BF26" s="40"/>
      <c r="BG26" s="41"/>
      <c r="BI26" s="34"/>
      <c r="BJ26" s="40"/>
      <c r="BK26" s="41"/>
      <c r="BM26" s="38">
        <f t="shared" si="0"/>
        <v>0</v>
      </c>
      <c r="BN26" s="19"/>
    </row>
    <row r="27" spans="1:66" ht="15.75" hidden="1" x14ac:dyDescent="0.25">
      <c r="A27" s="29">
        <v>25</v>
      </c>
      <c r="B27" s="57" t="s">
        <v>277</v>
      </c>
      <c r="C27" s="12" t="s">
        <v>282</v>
      </c>
      <c r="D27" s="5" t="s">
        <v>283</v>
      </c>
      <c r="E27" s="50">
        <v>140</v>
      </c>
      <c r="F27" s="51">
        <v>25</v>
      </c>
      <c r="G27" s="50"/>
      <c r="I27" s="52"/>
      <c r="J27" s="53"/>
      <c r="K27" s="54"/>
      <c r="L27" s="58"/>
      <c r="M27" s="52"/>
      <c r="N27" s="59"/>
      <c r="O27" s="60"/>
      <c r="P27" s="19"/>
      <c r="Q27" s="34"/>
      <c r="R27" s="40"/>
      <c r="S27" s="41"/>
      <c r="T27" s="19"/>
      <c r="U27" s="34"/>
      <c r="V27" s="40"/>
      <c r="W27" s="41"/>
      <c r="X27" s="19"/>
      <c r="Y27" s="34"/>
      <c r="Z27" s="40"/>
      <c r="AA27" s="41"/>
      <c r="AB27" s="19"/>
      <c r="AC27" s="34"/>
      <c r="AD27" s="40"/>
      <c r="AE27" s="41"/>
      <c r="AG27" s="34"/>
      <c r="AH27" s="40"/>
      <c r="AI27" s="41"/>
      <c r="AK27" s="34"/>
      <c r="AL27" s="40"/>
      <c r="AM27" s="41"/>
      <c r="AO27" s="34"/>
      <c r="AP27" s="40"/>
      <c r="AQ27" s="41"/>
      <c r="AS27" s="34"/>
      <c r="AT27" s="40"/>
      <c r="AU27" s="41"/>
      <c r="AW27" s="34"/>
      <c r="AX27" s="40"/>
      <c r="AY27" s="41"/>
      <c r="BA27" s="34"/>
      <c r="BB27" s="40"/>
      <c r="BC27" s="41"/>
      <c r="BE27" s="34"/>
      <c r="BF27" s="40"/>
      <c r="BG27" s="41"/>
      <c r="BI27" s="34"/>
      <c r="BJ27" s="40"/>
      <c r="BK27" s="41"/>
      <c r="BM27" s="38">
        <f t="shared" si="0"/>
        <v>0</v>
      </c>
      <c r="BN27" s="19"/>
    </row>
    <row r="28" spans="1:66" ht="15.75" hidden="1" x14ac:dyDescent="0.25">
      <c r="A28" s="29">
        <v>26</v>
      </c>
      <c r="B28" s="57" t="s">
        <v>277</v>
      </c>
      <c r="C28" s="13" t="s">
        <v>284</v>
      </c>
      <c r="D28" s="18" t="s">
        <v>285</v>
      </c>
      <c r="E28" s="16">
        <v>139</v>
      </c>
      <c r="F28" s="33">
        <v>26</v>
      </c>
      <c r="G28" s="16"/>
      <c r="I28" s="34"/>
      <c r="J28" s="35"/>
      <c r="K28" s="36"/>
      <c r="L28" s="19"/>
      <c r="M28" s="34"/>
      <c r="N28" s="40"/>
      <c r="O28" s="41"/>
      <c r="P28" s="19"/>
      <c r="Q28" s="34"/>
      <c r="R28" s="40"/>
      <c r="S28" s="41"/>
      <c r="T28" s="19"/>
      <c r="U28" s="34"/>
      <c r="V28" s="40"/>
      <c r="W28" s="41"/>
      <c r="X28" s="19"/>
      <c r="Y28" s="34"/>
      <c r="Z28" s="40"/>
      <c r="AA28" s="41"/>
      <c r="AB28" s="19"/>
      <c r="AC28" s="34"/>
      <c r="AD28" s="40"/>
      <c r="AE28" s="41"/>
      <c r="AG28" s="34"/>
      <c r="AH28" s="40"/>
      <c r="AI28" s="41"/>
      <c r="AK28" s="34"/>
      <c r="AL28" s="40"/>
      <c r="AM28" s="41"/>
      <c r="AO28" s="34"/>
      <c r="AP28" s="40"/>
      <c r="AQ28" s="41"/>
      <c r="AS28" s="34"/>
      <c r="AT28" s="40"/>
      <c r="AU28" s="41"/>
      <c r="AW28" s="34"/>
      <c r="AX28" s="40"/>
      <c r="AY28" s="41"/>
      <c r="BA28" s="34"/>
      <c r="BB28" s="40"/>
      <c r="BC28" s="41"/>
      <c r="BE28" s="34"/>
      <c r="BF28" s="40"/>
      <c r="BG28" s="41"/>
      <c r="BI28" s="34"/>
      <c r="BJ28" s="40"/>
      <c r="BK28" s="41"/>
      <c r="BM28" s="38">
        <f t="shared" si="0"/>
        <v>0</v>
      </c>
      <c r="BN28" s="19"/>
    </row>
    <row r="29" spans="1:66" ht="15.75" hidden="1" x14ac:dyDescent="0.25">
      <c r="A29" s="29">
        <v>27</v>
      </c>
      <c r="B29" s="57" t="s">
        <v>277</v>
      </c>
      <c r="C29" s="12" t="s">
        <v>286</v>
      </c>
      <c r="D29" s="5" t="s">
        <v>287</v>
      </c>
      <c r="E29" s="50">
        <v>138</v>
      </c>
      <c r="F29" s="51">
        <v>27</v>
      </c>
      <c r="G29" s="50"/>
      <c r="I29" s="52"/>
      <c r="J29" s="53"/>
      <c r="K29" s="54"/>
      <c r="L29" s="61"/>
      <c r="M29" s="62"/>
      <c r="N29" s="63"/>
      <c r="O29" s="64"/>
      <c r="P29" s="19"/>
      <c r="Q29" s="34"/>
      <c r="R29" s="40"/>
      <c r="S29" s="41"/>
      <c r="T29" s="19"/>
      <c r="U29" s="34"/>
      <c r="V29" s="40"/>
      <c r="W29" s="41"/>
      <c r="X29" s="19"/>
      <c r="Y29" s="34"/>
      <c r="Z29" s="40"/>
      <c r="AA29" s="41"/>
      <c r="AB29" s="19"/>
      <c r="AC29" s="34"/>
      <c r="AD29" s="40"/>
      <c r="AE29" s="41"/>
      <c r="AG29" s="34"/>
      <c r="AH29" s="40"/>
      <c r="AI29" s="41"/>
      <c r="AK29" s="34"/>
      <c r="AL29" s="40"/>
      <c r="AM29" s="41"/>
      <c r="AO29" s="34"/>
      <c r="AP29" s="40"/>
      <c r="AQ29" s="41"/>
      <c r="AS29" s="34"/>
      <c r="AT29" s="40"/>
      <c r="AU29" s="41"/>
      <c r="AW29" s="34"/>
      <c r="AX29" s="40"/>
      <c r="AY29" s="41"/>
      <c r="BA29" s="34"/>
      <c r="BB29" s="40"/>
      <c r="BC29" s="41"/>
      <c r="BE29" s="34"/>
      <c r="BF29" s="40"/>
      <c r="BG29" s="41"/>
      <c r="BI29" s="34"/>
      <c r="BJ29" s="40"/>
      <c r="BK29" s="41"/>
      <c r="BM29" s="38">
        <f t="shared" si="0"/>
        <v>0</v>
      </c>
      <c r="BN29" s="19"/>
    </row>
    <row r="30" spans="1:66" ht="15.75" hidden="1" x14ac:dyDescent="0.25">
      <c r="A30" s="29">
        <v>28</v>
      </c>
      <c r="B30" s="57" t="s">
        <v>277</v>
      </c>
      <c r="C30" s="13" t="s">
        <v>288</v>
      </c>
      <c r="D30" s="18" t="s">
        <v>289</v>
      </c>
      <c r="E30" s="16">
        <v>135</v>
      </c>
      <c r="F30" s="33">
        <v>28</v>
      </c>
      <c r="G30" s="16"/>
      <c r="I30" s="34"/>
      <c r="J30" s="35"/>
      <c r="K30" s="36"/>
      <c r="L30" s="19"/>
      <c r="M30" s="34"/>
      <c r="N30" s="40"/>
      <c r="O30" s="41"/>
      <c r="P30" s="19"/>
      <c r="Q30" s="34"/>
      <c r="R30" s="40"/>
      <c r="S30" s="41"/>
      <c r="T30" s="19"/>
      <c r="U30" s="34"/>
      <c r="V30" s="40"/>
      <c r="W30" s="41"/>
      <c r="X30" s="19"/>
      <c r="Y30" s="34"/>
      <c r="Z30" s="40"/>
      <c r="AA30" s="41"/>
      <c r="AB30" s="19"/>
      <c r="AC30" s="34"/>
      <c r="AD30" s="40"/>
      <c r="AE30" s="41"/>
      <c r="AG30" s="34"/>
      <c r="AH30" s="40"/>
      <c r="AI30" s="41"/>
      <c r="AK30" s="34"/>
      <c r="AL30" s="40"/>
      <c r="AM30" s="41"/>
      <c r="AO30" s="34"/>
      <c r="AP30" s="40"/>
      <c r="AQ30" s="41"/>
      <c r="AS30" s="34"/>
      <c r="AT30" s="40"/>
      <c r="AU30" s="41"/>
      <c r="AW30" s="34"/>
      <c r="AX30" s="40"/>
      <c r="AY30" s="41"/>
      <c r="BA30" s="34"/>
      <c r="BB30" s="40"/>
      <c r="BC30" s="41"/>
      <c r="BE30" s="34"/>
      <c r="BF30" s="40"/>
      <c r="BG30" s="41"/>
      <c r="BI30" s="34"/>
      <c r="BJ30" s="40"/>
      <c r="BK30" s="41"/>
      <c r="BM30" s="38">
        <f t="shared" si="0"/>
        <v>0</v>
      </c>
      <c r="BN30" s="19"/>
    </row>
    <row r="31" spans="1:66" ht="15.75" hidden="1" x14ac:dyDescent="0.25">
      <c r="A31" s="29">
        <v>29</v>
      </c>
      <c r="B31" s="57" t="s">
        <v>277</v>
      </c>
      <c r="C31" s="13" t="s">
        <v>290</v>
      </c>
      <c r="D31" s="18" t="s">
        <v>257</v>
      </c>
      <c r="E31" s="16">
        <v>134</v>
      </c>
      <c r="F31" s="33">
        <v>29</v>
      </c>
      <c r="G31" s="16"/>
      <c r="I31" s="34"/>
      <c r="J31" s="35"/>
      <c r="K31" s="36"/>
      <c r="L31" s="19"/>
      <c r="M31" s="34"/>
      <c r="N31" s="40"/>
      <c r="O31" s="41"/>
      <c r="P31" s="19"/>
      <c r="Q31" s="34"/>
      <c r="R31" s="40"/>
      <c r="S31" s="41"/>
      <c r="T31" s="19"/>
      <c r="U31" s="34"/>
      <c r="V31" s="40"/>
      <c r="W31" s="41"/>
      <c r="X31" s="19"/>
      <c r="Y31" s="34"/>
      <c r="Z31" s="40"/>
      <c r="AA31" s="41"/>
      <c r="AB31" s="19"/>
      <c r="AC31" s="34"/>
      <c r="AD31" s="40"/>
      <c r="AE31" s="41"/>
      <c r="AG31" s="34"/>
      <c r="AH31" s="40"/>
      <c r="AI31" s="41"/>
      <c r="AK31" s="34"/>
      <c r="AL31" s="40"/>
      <c r="AM31" s="41"/>
      <c r="AO31" s="34"/>
      <c r="AP31" s="40"/>
      <c r="AQ31" s="41"/>
      <c r="AS31" s="34"/>
      <c r="AT31" s="40"/>
      <c r="AU31" s="41"/>
      <c r="AW31" s="34"/>
      <c r="AX31" s="40"/>
      <c r="AY31" s="41"/>
      <c r="BA31" s="34"/>
      <c r="BB31" s="40"/>
      <c r="BC31" s="41"/>
      <c r="BE31" s="34"/>
      <c r="BF31" s="40"/>
      <c r="BG31" s="41"/>
      <c r="BI31" s="34"/>
      <c r="BJ31" s="40"/>
      <c r="BK31" s="41"/>
      <c r="BM31" s="38">
        <f t="shared" si="0"/>
        <v>0</v>
      </c>
      <c r="BN31" s="19"/>
    </row>
    <row r="32" spans="1:66" ht="15.75" hidden="1" x14ac:dyDescent="0.25">
      <c r="A32" s="29">
        <v>30</v>
      </c>
      <c r="B32" s="57" t="s">
        <v>277</v>
      </c>
      <c r="C32" s="13" t="s">
        <v>291</v>
      </c>
      <c r="D32" s="18" t="s">
        <v>292</v>
      </c>
      <c r="E32" s="16">
        <v>133</v>
      </c>
      <c r="F32" s="33">
        <v>30</v>
      </c>
      <c r="G32" s="16"/>
      <c r="I32" s="34"/>
      <c r="J32" s="35"/>
      <c r="K32" s="36"/>
      <c r="L32" s="19"/>
      <c r="M32" s="34"/>
      <c r="N32" s="40"/>
      <c r="O32" s="41"/>
      <c r="P32" s="19"/>
      <c r="Q32" s="34"/>
      <c r="R32" s="40"/>
      <c r="S32" s="41"/>
      <c r="T32" s="19"/>
      <c r="U32" s="34"/>
      <c r="V32" s="40"/>
      <c r="W32" s="41"/>
      <c r="X32" s="19"/>
      <c r="Y32" s="34"/>
      <c r="Z32" s="40"/>
      <c r="AA32" s="41"/>
      <c r="AB32" s="19"/>
      <c r="AC32" s="34"/>
      <c r="AD32" s="40"/>
      <c r="AE32" s="41"/>
      <c r="AG32" s="34"/>
      <c r="AH32" s="40"/>
      <c r="AI32" s="41"/>
      <c r="AK32" s="34"/>
      <c r="AL32" s="40"/>
      <c r="AM32" s="41"/>
      <c r="AO32" s="34"/>
      <c r="AP32" s="40"/>
      <c r="AQ32" s="41"/>
      <c r="AS32" s="34"/>
      <c r="AT32" s="40"/>
      <c r="AU32" s="41"/>
      <c r="AW32" s="34"/>
      <c r="AX32" s="40"/>
      <c r="AY32" s="41"/>
      <c r="BA32" s="34"/>
      <c r="BB32" s="40"/>
      <c r="BC32" s="41"/>
      <c r="BE32" s="34"/>
      <c r="BF32" s="40"/>
      <c r="BG32" s="41"/>
      <c r="BI32" s="34"/>
      <c r="BJ32" s="40"/>
      <c r="BK32" s="41"/>
      <c r="BM32" s="38">
        <f t="shared" si="0"/>
        <v>0</v>
      </c>
      <c r="BN32" s="19"/>
    </row>
    <row r="33" spans="1:66" ht="15.75" hidden="1" x14ac:dyDescent="0.25">
      <c r="A33" s="29">
        <v>31</v>
      </c>
      <c r="B33" s="57" t="s">
        <v>277</v>
      </c>
      <c r="C33" s="13" t="s">
        <v>293</v>
      </c>
      <c r="D33" s="18" t="s">
        <v>294</v>
      </c>
      <c r="E33" s="16">
        <v>132</v>
      </c>
      <c r="F33" s="33">
        <v>31</v>
      </c>
      <c r="G33" s="16"/>
      <c r="I33" s="34"/>
      <c r="J33" s="35"/>
      <c r="K33" s="36"/>
      <c r="L33" s="19"/>
      <c r="M33" s="34"/>
      <c r="N33" s="40"/>
      <c r="O33" s="41"/>
      <c r="P33" s="19"/>
      <c r="Q33" s="34"/>
      <c r="R33" s="40"/>
      <c r="S33" s="41"/>
      <c r="T33" s="19"/>
      <c r="U33" s="34"/>
      <c r="V33" s="40"/>
      <c r="W33" s="41"/>
      <c r="X33" s="19"/>
      <c r="Y33" s="34"/>
      <c r="Z33" s="40"/>
      <c r="AA33" s="41"/>
      <c r="AB33" s="19"/>
      <c r="AC33" s="34"/>
      <c r="AD33" s="40"/>
      <c r="AE33" s="41"/>
      <c r="AG33" s="34"/>
      <c r="AH33" s="40"/>
      <c r="AI33" s="41"/>
      <c r="AK33" s="34"/>
      <c r="AL33" s="40"/>
      <c r="AM33" s="41"/>
      <c r="AO33" s="34"/>
      <c r="AP33" s="40"/>
      <c r="AQ33" s="41"/>
      <c r="AS33" s="34"/>
      <c r="AT33" s="40"/>
      <c r="AU33" s="41"/>
      <c r="AW33" s="34"/>
      <c r="AX33" s="40"/>
      <c r="AY33" s="41"/>
      <c r="BA33" s="34"/>
      <c r="BB33" s="40"/>
      <c r="BC33" s="41"/>
      <c r="BE33" s="34"/>
      <c r="BF33" s="40"/>
      <c r="BG33" s="41"/>
      <c r="BI33" s="34"/>
      <c r="BJ33" s="40"/>
      <c r="BK33" s="41"/>
      <c r="BM33" s="38">
        <f t="shared" si="0"/>
        <v>0</v>
      </c>
      <c r="BN33" s="19"/>
    </row>
    <row r="34" spans="1:66" ht="15.75" hidden="1" x14ac:dyDescent="0.25">
      <c r="A34" s="29">
        <v>32</v>
      </c>
      <c r="B34" s="57" t="s">
        <v>277</v>
      </c>
      <c r="C34" s="13" t="s">
        <v>295</v>
      </c>
      <c r="D34" s="18" t="s">
        <v>296</v>
      </c>
      <c r="E34" s="16">
        <v>131</v>
      </c>
      <c r="F34" s="33">
        <v>32</v>
      </c>
      <c r="G34" s="16"/>
      <c r="I34" s="34"/>
      <c r="J34" s="35"/>
      <c r="K34" s="36"/>
      <c r="L34" s="19"/>
      <c r="M34" s="34"/>
      <c r="N34" s="40"/>
      <c r="O34" s="41"/>
      <c r="P34" s="19"/>
      <c r="Q34" s="34"/>
      <c r="R34" s="40"/>
      <c r="S34" s="41"/>
      <c r="T34" s="19"/>
      <c r="U34" s="34"/>
      <c r="V34" s="40"/>
      <c r="W34" s="41"/>
      <c r="X34" s="19"/>
      <c r="Y34" s="34"/>
      <c r="Z34" s="40"/>
      <c r="AA34" s="41"/>
      <c r="AB34" s="19"/>
      <c r="AC34" s="34"/>
      <c r="AD34" s="40"/>
      <c r="AE34" s="41"/>
      <c r="AG34" s="34"/>
      <c r="AH34" s="40"/>
      <c r="AI34" s="41"/>
      <c r="AK34" s="34"/>
      <c r="AL34" s="40"/>
      <c r="AM34" s="41"/>
      <c r="AO34" s="34"/>
      <c r="AP34" s="40"/>
      <c r="AQ34" s="41"/>
      <c r="AS34" s="34"/>
      <c r="AT34" s="40"/>
      <c r="AU34" s="41"/>
      <c r="AW34" s="34"/>
      <c r="AX34" s="40"/>
      <c r="AY34" s="41"/>
      <c r="BA34" s="34"/>
      <c r="BB34" s="40"/>
      <c r="BC34" s="41"/>
      <c r="BE34" s="34"/>
      <c r="BF34" s="40"/>
      <c r="BG34" s="41"/>
      <c r="BI34" s="34"/>
      <c r="BJ34" s="40"/>
      <c r="BK34" s="41"/>
      <c r="BM34" s="38">
        <f t="shared" si="0"/>
        <v>0</v>
      </c>
      <c r="BN34" s="19"/>
    </row>
    <row r="35" spans="1:66" ht="15.75" hidden="1" x14ac:dyDescent="0.25">
      <c r="A35" s="29">
        <v>33</v>
      </c>
      <c r="B35" s="57" t="s">
        <v>277</v>
      </c>
      <c r="C35" s="13" t="s">
        <v>297</v>
      </c>
      <c r="D35" s="18" t="s">
        <v>298</v>
      </c>
      <c r="E35" s="16">
        <v>130</v>
      </c>
      <c r="F35" s="33">
        <v>33</v>
      </c>
      <c r="G35" s="16"/>
      <c r="I35" s="34"/>
      <c r="J35" s="35"/>
      <c r="K35" s="36"/>
      <c r="L35" s="19"/>
      <c r="M35" s="34"/>
      <c r="N35" s="40"/>
      <c r="O35" s="41"/>
      <c r="P35" s="19"/>
      <c r="Q35" s="34"/>
      <c r="R35" s="40"/>
      <c r="S35" s="41"/>
      <c r="T35" s="19"/>
      <c r="U35" s="34"/>
      <c r="V35" s="40"/>
      <c r="W35" s="41"/>
      <c r="X35" s="19"/>
      <c r="Y35" s="34"/>
      <c r="Z35" s="40"/>
      <c r="AA35" s="41"/>
      <c r="AB35" s="19"/>
      <c r="AC35" s="34"/>
      <c r="AD35" s="40"/>
      <c r="AE35" s="41"/>
      <c r="AG35" s="34"/>
      <c r="AH35" s="40"/>
      <c r="AI35" s="41"/>
      <c r="AK35" s="34"/>
      <c r="AL35" s="40"/>
      <c r="AM35" s="41"/>
      <c r="AO35" s="34"/>
      <c r="AP35" s="40"/>
      <c r="AQ35" s="41"/>
      <c r="AS35" s="34"/>
      <c r="AT35" s="40"/>
      <c r="AU35" s="41"/>
      <c r="AW35" s="34"/>
      <c r="AX35" s="40"/>
      <c r="AY35" s="41"/>
      <c r="BA35" s="34"/>
      <c r="BB35" s="40"/>
      <c r="BC35" s="41"/>
      <c r="BE35" s="34"/>
      <c r="BF35" s="40"/>
      <c r="BG35" s="41"/>
      <c r="BI35" s="34"/>
      <c r="BJ35" s="40"/>
      <c r="BK35" s="41"/>
      <c r="BM35" s="38">
        <f t="shared" si="0"/>
        <v>0</v>
      </c>
      <c r="BN35" s="19"/>
    </row>
    <row r="36" spans="1:66" ht="15.75" hidden="1" x14ac:dyDescent="0.25">
      <c r="A36" s="29">
        <v>34</v>
      </c>
      <c r="B36" s="57" t="s">
        <v>277</v>
      </c>
      <c r="C36" s="65" t="s">
        <v>299</v>
      </c>
      <c r="D36" s="44"/>
      <c r="E36" s="20">
        <v>129</v>
      </c>
      <c r="F36" s="45">
        <v>34</v>
      </c>
      <c r="G36" s="16"/>
      <c r="I36" s="34"/>
      <c r="J36" s="35"/>
      <c r="K36" s="36"/>
      <c r="L36" s="19"/>
      <c r="M36" s="34"/>
      <c r="N36" s="40"/>
      <c r="O36" s="41"/>
      <c r="P36" s="19"/>
      <c r="Q36" s="34"/>
      <c r="R36" s="40"/>
      <c r="S36" s="41"/>
      <c r="T36" s="19"/>
      <c r="U36" s="34"/>
      <c r="V36" s="40"/>
      <c r="W36" s="41"/>
      <c r="X36" s="19"/>
      <c r="Y36" s="34"/>
      <c r="Z36" s="40"/>
      <c r="AA36" s="41"/>
      <c r="AB36" s="19"/>
      <c r="AC36" s="34"/>
      <c r="AD36" s="40"/>
      <c r="AE36" s="41"/>
      <c r="AG36" s="34"/>
      <c r="AH36" s="40"/>
      <c r="AI36" s="41"/>
      <c r="AK36" s="34"/>
      <c r="AL36" s="40"/>
      <c r="AM36" s="41"/>
      <c r="AO36" s="34"/>
      <c r="AP36" s="40"/>
      <c r="AQ36" s="41"/>
      <c r="AS36" s="34"/>
      <c r="AT36" s="40"/>
      <c r="AU36" s="41"/>
      <c r="AW36" s="34"/>
      <c r="AX36" s="40"/>
      <c r="AY36" s="41"/>
      <c r="BA36" s="34"/>
      <c r="BB36" s="40"/>
      <c r="BC36" s="41"/>
      <c r="BE36" s="34"/>
      <c r="BF36" s="40"/>
      <c r="BG36" s="41"/>
      <c r="BI36" s="34"/>
      <c r="BJ36" s="40"/>
      <c r="BK36" s="41"/>
      <c r="BM36" s="38">
        <f t="shared" si="0"/>
        <v>0</v>
      </c>
      <c r="BN36" s="19"/>
    </row>
    <row r="37" spans="1:66" ht="15.75" hidden="1" x14ac:dyDescent="0.25">
      <c r="A37" s="29">
        <v>35</v>
      </c>
      <c r="B37" s="57" t="s">
        <v>277</v>
      </c>
      <c r="C37" s="13" t="s">
        <v>300</v>
      </c>
      <c r="D37" s="18" t="s">
        <v>301</v>
      </c>
      <c r="E37" s="16">
        <v>128</v>
      </c>
      <c r="F37" s="33">
        <v>35</v>
      </c>
      <c r="G37" s="16"/>
      <c r="I37" s="34"/>
      <c r="J37" s="35"/>
      <c r="K37" s="36"/>
      <c r="L37" s="19"/>
      <c r="M37" s="34"/>
      <c r="N37" s="40"/>
      <c r="O37" s="41"/>
      <c r="P37" s="19"/>
      <c r="Q37" s="34"/>
      <c r="R37" s="40"/>
      <c r="S37" s="41"/>
      <c r="T37" s="19"/>
      <c r="U37" s="34"/>
      <c r="V37" s="40"/>
      <c r="W37" s="41"/>
      <c r="X37" s="19"/>
      <c r="Y37" s="34"/>
      <c r="Z37" s="40"/>
      <c r="AA37" s="41"/>
      <c r="AB37" s="19"/>
      <c r="AC37" s="34"/>
      <c r="AD37" s="40"/>
      <c r="AE37" s="41"/>
      <c r="AG37" s="34"/>
      <c r="AH37" s="40"/>
      <c r="AI37" s="41"/>
      <c r="AK37" s="34"/>
      <c r="AL37" s="40"/>
      <c r="AM37" s="41"/>
      <c r="AO37" s="34"/>
      <c r="AP37" s="40"/>
      <c r="AQ37" s="41"/>
      <c r="AS37" s="34"/>
      <c r="AT37" s="40"/>
      <c r="AU37" s="41"/>
      <c r="AW37" s="34"/>
      <c r="AX37" s="40"/>
      <c r="AY37" s="41"/>
      <c r="BA37" s="34"/>
      <c r="BB37" s="40"/>
      <c r="BC37" s="41"/>
      <c r="BE37" s="34"/>
      <c r="BF37" s="40"/>
      <c r="BG37" s="41"/>
      <c r="BI37" s="34"/>
      <c r="BJ37" s="40"/>
      <c r="BK37" s="41"/>
      <c r="BM37" s="38">
        <f t="shared" si="0"/>
        <v>0</v>
      </c>
      <c r="BN37" s="19"/>
    </row>
    <row r="38" spans="1:66" ht="15.75" hidden="1" x14ac:dyDescent="0.25">
      <c r="A38" s="29">
        <v>36</v>
      </c>
      <c r="B38" s="57" t="s">
        <v>277</v>
      </c>
      <c r="C38" s="13" t="s">
        <v>302</v>
      </c>
      <c r="D38" s="18" t="s">
        <v>303</v>
      </c>
      <c r="E38" s="16">
        <v>127</v>
      </c>
      <c r="F38" s="33">
        <v>36</v>
      </c>
      <c r="G38" s="16"/>
      <c r="I38" s="34"/>
      <c r="J38" s="35"/>
      <c r="K38" s="36"/>
      <c r="L38" s="19"/>
      <c r="M38" s="34"/>
      <c r="N38" s="40"/>
      <c r="O38" s="41"/>
      <c r="P38" s="19"/>
      <c r="Q38" s="34"/>
      <c r="R38" s="40"/>
      <c r="S38" s="41"/>
      <c r="T38" s="19"/>
      <c r="U38" s="34"/>
      <c r="V38" s="40"/>
      <c r="W38" s="41"/>
      <c r="X38" s="19"/>
      <c r="Y38" s="34"/>
      <c r="Z38" s="40"/>
      <c r="AA38" s="41"/>
      <c r="AB38" s="19"/>
      <c r="AC38" s="34"/>
      <c r="AD38" s="40"/>
      <c r="AE38" s="41"/>
      <c r="AG38" s="34"/>
      <c r="AH38" s="40"/>
      <c r="AI38" s="41"/>
      <c r="AK38" s="34"/>
      <c r="AL38" s="40"/>
      <c r="AM38" s="41"/>
      <c r="AO38" s="34"/>
      <c r="AP38" s="40"/>
      <c r="AQ38" s="41"/>
      <c r="AS38" s="34"/>
      <c r="AT38" s="40"/>
      <c r="AU38" s="41"/>
      <c r="AW38" s="34"/>
      <c r="AX38" s="40"/>
      <c r="AY38" s="41"/>
      <c r="BA38" s="34"/>
      <c r="BB38" s="40"/>
      <c r="BC38" s="41"/>
      <c r="BE38" s="34"/>
      <c r="BF38" s="40"/>
      <c r="BG38" s="41"/>
      <c r="BI38" s="34"/>
      <c r="BJ38" s="40"/>
      <c r="BK38" s="41"/>
      <c r="BM38" s="38">
        <f t="shared" si="0"/>
        <v>0</v>
      </c>
      <c r="BN38" s="19"/>
    </row>
    <row r="39" spans="1:66" ht="15.75" hidden="1" x14ac:dyDescent="0.25">
      <c r="A39" s="29">
        <v>37</v>
      </c>
      <c r="B39" s="57" t="s">
        <v>277</v>
      </c>
      <c r="C39" s="13" t="s">
        <v>304</v>
      </c>
      <c r="D39" s="18" t="s">
        <v>305</v>
      </c>
      <c r="E39" s="16">
        <v>126</v>
      </c>
      <c r="F39" s="33">
        <v>37</v>
      </c>
      <c r="G39" s="16"/>
      <c r="I39" s="34"/>
      <c r="J39" s="35"/>
      <c r="K39" s="36"/>
      <c r="L39" s="19"/>
      <c r="M39" s="34"/>
      <c r="N39" s="40"/>
      <c r="O39" s="41"/>
      <c r="P39" s="19"/>
      <c r="Q39" s="34"/>
      <c r="R39" s="40"/>
      <c r="S39" s="41"/>
      <c r="T39" s="19"/>
      <c r="U39" s="34"/>
      <c r="V39" s="40"/>
      <c r="W39" s="41"/>
      <c r="X39" s="19"/>
      <c r="Y39" s="34"/>
      <c r="Z39" s="40"/>
      <c r="AA39" s="41"/>
      <c r="AB39" s="19"/>
      <c r="AC39" s="34"/>
      <c r="AD39" s="40"/>
      <c r="AE39" s="41"/>
      <c r="AG39" s="34"/>
      <c r="AH39" s="40"/>
      <c r="AI39" s="41"/>
      <c r="AK39" s="34"/>
      <c r="AL39" s="40"/>
      <c r="AM39" s="41"/>
      <c r="AO39" s="34"/>
      <c r="AP39" s="40"/>
      <c r="AQ39" s="41"/>
      <c r="AS39" s="34"/>
      <c r="AT39" s="40"/>
      <c r="AU39" s="41"/>
      <c r="AW39" s="34"/>
      <c r="AX39" s="40"/>
      <c r="AY39" s="41"/>
      <c r="BA39" s="34"/>
      <c r="BB39" s="40"/>
      <c r="BC39" s="41"/>
      <c r="BE39" s="34"/>
      <c r="BF39" s="40"/>
      <c r="BG39" s="41"/>
      <c r="BI39" s="34"/>
      <c r="BJ39" s="40"/>
      <c r="BK39" s="41"/>
      <c r="BM39" s="38">
        <f t="shared" si="0"/>
        <v>0</v>
      </c>
      <c r="BN39" s="19"/>
    </row>
    <row r="40" spans="1:66" ht="15.75" hidden="1" x14ac:dyDescent="0.25">
      <c r="A40" s="29">
        <v>38</v>
      </c>
      <c r="B40" s="57" t="s">
        <v>277</v>
      </c>
      <c r="C40" s="13" t="s">
        <v>306</v>
      </c>
      <c r="D40" s="18" t="s">
        <v>307</v>
      </c>
      <c r="E40" s="16">
        <v>125</v>
      </c>
      <c r="F40" s="33">
        <v>38</v>
      </c>
      <c r="G40" s="16"/>
      <c r="I40" s="34"/>
      <c r="J40" s="35"/>
      <c r="K40" s="36"/>
      <c r="L40" s="19"/>
      <c r="M40" s="34"/>
      <c r="N40" s="40"/>
      <c r="O40" s="41"/>
      <c r="P40" s="19"/>
      <c r="Q40" s="34"/>
      <c r="R40" s="40"/>
      <c r="S40" s="41"/>
      <c r="T40" s="19"/>
      <c r="U40" s="34"/>
      <c r="V40" s="40"/>
      <c r="W40" s="41"/>
      <c r="X40" s="19"/>
      <c r="Y40" s="34"/>
      <c r="Z40" s="40"/>
      <c r="AA40" s="41"/>
      <c r="AB40" s="19"/>
      <c r="AC40" s="34"/>
      <c r="AD40" s="40"/>
      <c r="AE40" s="41"/>
      <c r="AG40" s="34"/>
      <c r="AH40" s="40"/>
      <c r="AI40" s="41"/>
      <c r="AK40" s="34"/>
      <c r="AL40" s="40"/>
      <c r="AM40" s="41"/>
      <c r="AO40" s="34"/>
      <c r="AP40" s="40"/>
      <c r="AQ40" s="41"/>
      <c r="AS40" s="34"/>
      <c r="AT40" s="40"/>
      <c r="AU40" s="41"/>
      <c r="AW40" s="34"/>
      <c r="AX40" s="40"/>
      <c r="AY40" s="41"/>
      <c r="BA40" s="34"/>
      <c r="BB40" s="40"/>
      <c r="BC40" s="41"/>
      <c r="BE40" s="34"/>
      <c r="BF40" s="40"/>
      <c r="BG40" s="41"/>
      <c r="BI40" s="34"/>
      <c r="BJ40" s="40"/>
      <c r="BK40" s="41"/>
      <c r="BM40" s="38">
        <f t="shared" si="0"/>
        <v>0</v>
      </c>
      <c r="BN40" s="19"/>
    </row>
    <row r="41" spans="1:66" ht="15.75" hidden="1" x14ac:dyDescent="0.25">
      <c r="A41" s="29">
        <v>39</v>
      </c>
      <c r="B41" s="57" t="s">
        <v>277</v>
      </c>
      <c r="C41" s="13" t="s">
        <v>308</v>
      </c>
      <c r="D41" s="18" t="s">
        <v>242</v>
      </c>
      <c r="E41" s="16">
        <v>9</v>
      </c>
      <c r="F41" s="33">
        <v>39</v>
      </c>
      <c r="G41" s="56" t="s">
        <v>265</v>
      </c>
      <c r="I41" s="34">
        <v>326</v>
      </c>
      <c r="J41" s="35">
        <v>45766</v>
      </c>
      <c r="K41" s="36" t="s">
        <v>265</v>
      </c>
      <c r="L41" s="19"/>
      <c r="M41" s="34">
        <v>480</v>
      </c>
      <c r="N41" s="40">
        <v>45987</v>
      </c>
      <c r="O41" s="41" t="s">
        <v>309</v>
      </c>
      <c r="P41" s="19"/>
      <c r="Q41" s="34"/>
      <c r="R41" s="40"/>
      <c r="S41" s="41"/>
      <c r="T41" s="19"/>
      <c r="U41" s="34"/>
      <c r="V41" s="40"/>
      <c r="W41" s="41"/>
      <c r="X41" s="19"/>
      <c r="Y41" s="34"/>
      <c r="Z41" s="40"/>
      <c r="AA41" s="41"/>
      <c r="AB41" s="19"/>
      <c r="AC41" s="34"/>
      <c r="AD41" s="40"/>
      <c r="AE41" s="41"/>
      <c r="AG41" s="34"/>
      <c r="AH41" s="40"/>
      <c r="AI41" s="41"/>
      <c r="AK41" s="34"/>
      <c r="AL41" s="40"/>
      <c r="AM41" s="41"/>
      <c r="AO41" s="34"/>
      <c r="AP41" s="40"/>
      <c r="AQ41" s="41"/>
      <c r="AS41" s="34"/>
      <c r="AT41" s="40"/>
      <c r="AU41" s="41"/>
      <c r="AW41" s="34"/>
      <c r="AX41" s="40"/>
      <c r="AY41" s="41"/>
      <c r="BA41" s="34"/>
      <c r="BB41" s="40"/>
      <c r="BC41" s="41"/>
      <c r="BE41" s="34"/>
      <c r="BF41" s="40"/>
      <c r="BG41" s="41"/>
      <c r="BI41" s="34"/>
      <c r="BJ41" s="40"/>
      <c r="BK41" s="41"/>
      <c r="BM41" s="38">
        <f t="shared" si="0"/>
        <v>0</v>
      </c>
      <c r="BN41" s="19"/>
    </row>
    <row r="42" spans="1:66" ht="15.75" hidden="1" x14ac:dyDescent="0.25">
      <c r="A42" s="29">
        <v>40</v>
      </c>
      <c r="B42" s="57" t="s">
        <v>277</v>
      </c>
      <c r="C42" s="13" t="s">
        <v>310</v>
      </c>
      <c r="D42" s="18" t="s">
        <v>311</v>
      </c>
      <c r="E42" s="16">
        <v>23</v>
      </c>
      <c r="F42" s="33">
        <v>40</v>
      </c>
      <c r="G42" s="16"/>
      <c r="I42" s="34"/>
      <c r="J42" s="35"/>
      <c r="K42" s="36"/>
      <c r="L42" s="19"/>
      <c r="M42" s="34"/>
      <c r="N42" s="40"/>
      <c r="O42" s="41"/>
      <c r="P42" s="19"/>
      <c r="Q42" s="34"/>
      <c r="R42" s="40"/>
      <c r="S42" s="41"/>
      <c r="T42" s="19"/>
      <c r="U42" s="34"/>
      <c r="V42" s="40"/>
      <c r="W42" s="41"/>
      <c r="X42" s="19"/>
      <c r="Y42" s="34"/>
      <c r="Z42" s="40"/>
      <c r="AA42" s="41"/>
      <c r="AB42" s="19"/>
      <c r="AC42" s="34"/>
      <c r="AD42" s="40"/>
      <c r="AE42" s="41"/>
      <c r="AG42" s="34"/>
      <c r="AH42" s="40"/>
      <c r="AI42" s="41"/>
      <c r="AK42" s="34"/>
      <c r="AL42" s="40"/>
      <c r="AM42" s="41"/>
      <c r="AO42" s="34"/>
      <c r="AP42" s="40"/>
      <c r="AQ42" s="41"/>
      <c r="AS42" s="34"/>
      <c r="AT42" s="40"/>
      <c r="AU42" s="41"/>
      <c r="AW42" s="34"/>
      <c r="AX42" s="40"/>
      <c r="AY42" s="41"/>
      <c r="BA42" s="34"/>
      <c r="BB42" s="40"/>
      <c r="BC42" s="41"/>
      <c r="BE42" s="34"/>
      <c r="BF42" s="40"/>
      <c r="BG42" s="41"/>
      <c r="BI42" s="34"/>
      <c r="BJ42" s="40"/>
      <c r="BK42" s="41"/>
      <c r="BM42" s="38">
        <f t="shared" si="0"/>
        <v>0</v>
      </c>
      <c r="BN42" s="19"/>
    </row>
    <row r="43" spans="1:66" ht="15.75" hidden="1" x14ac:dyDescent="0.25">
      <c r="A43" s="29">
        <v>41</v>
      </c>
      <c r="B43" s="57" t="s">
        <v>277</v>
      </c>
      <c r="C43" s="13" t="s">
        <v>312</v>
      </c>
      <c r="D43" s="5" t="s">
        <v>242</v>
      </c>
      <c r="E43" s="16">
        <v>67</v>
      </c>
      <c r="F43" s="33">
        <v>41</v>
      </c>
      <c r="G43" s="16"/>
      <c r="I43" s="34"/>
      <c r="J43" s="35"/>
      <c r="K43" s="36"/>
      <c r="L43" s="19"/>
      <c r="M43" s="34"/>
      <c r="N43" s="40"/>
      <c r="O43" s="41"/>
      <c r="P43" s="19"/>
      <c r="Q43" s="34"/>
      <c r="R43" s="40"/>
      <c r="S43" s="41"/>
      <c r="T43" s="19"/>
      <c r="U43" s="34"/>
      <c r="V43" s="40"/>
      <c r="W43" s="41"/>
      <c r="X43" s="19"/>
      <c r="Y43" s="34"/>
      <c r="Z43" s="40"/>
      <c r="AA43" s="41"/>
      <c r="AB43" s="19"/>
      <c r="AC43" s="34"/>
      <c r="AD43" s="40"/>
      <c r="AE43" s="41"/>
      <c r="AG43" s="34"/>
      <c r="AH43" s="40"/>
      <c r="AI43" s="41"/>
      <c r="AK43" s="34"/>
      <c r="AL43" s="40"/>
      <c r="AM43" s="41"/>
      <c r="AO43" s="34"/>
      <c r="AP43" s="40"/>
      <c r="AQ43" s="41"/>
      <c r="AS43" s="34"/>
      <c r="AT43" s="40"/>
      <c r="AU43" s="41"/>
      <c r="AW43" s="34"/>
      <c r="AX43" s="40"/>
      <c r="AY43" s="41"/>
      <c r="BA43" s="34"/>
      <c r="BB43" s="40"/>
      <c r="BC43" s="41"/>
      <c r="BE43" s="34"/>
      <c r="BF43" s="40"/>
      <c r="BG43" s="41"/>
      <c r="BI43" s="34"/>
      <c r="BJ43" s="40"/>
      <c r="BK43" s="41"/>
      <c r="BM43" s="38">
        <f t="shared" si="0"/>
        <v>0</v>
      </c>
      <c r="BN43" s="19"/>
    </row>
    <row r="44" spans="1:66" ht="15.75" hidden="1" x14ac:dyDescent="0.25">
      <c r="A44" s="29">
        <v>42</v>
      </c>
      <c r="B44" s="66" t="s">
        <v>277</v>
      </c>
      <c r="C44" s="13" t="s">
        <v>313</v>
      </c>
      <c r="D44" s="18" t="s">
        <v>314</v>
      </c>
      <c r="E44" s="16">
        <v>62</v>
      </c>
      <c r="F44" s="33">
        <v>42</v>
      </c>
      <c r="G44" s="16"/>
      <c r="I44" s="34"/>
      <c r="J44" s="35"/>
      <c r="K44" s="36"/>
      <c r="L44" s="19"/>
      <c r="M44" s="34">
        <v>122</v>
      </c>
      <c r="N44" s="40">
        <v>45577</v>
      </c>
      <c r="O44" s="41">
        <v>6000000</v>
      </c>
      <c r="P44" s="19"/>
      <c r="Q44" s="34">
        <v>2</v>
      </c>
      <c r="R44" s="40">
        <v>45637</v>
      </c>
      <c r="S44" s="41">
        <v>7000000</v>
      </c>
      <c r="T44" s="19"/>
      <c r="U44" s="34"/>
      <c r="V44" s="40"/>
      <c r="W44" s="41"/>
      <c r="X44" s="19"/>
      <c r="Y44" s="34"/>
      <c r="Z44" s="40"/>
      <c r="AA44" s="41"/>
      <c r="AB44" s="19"/>
      <c r="AC44" s="34"/>
      <c r="AD44" s="40"/>
      <c r="AE44" s="41"/>
      <c r="AG44" s="34"/>
      <c r="AH44" s="40"/>
      <c r="AI44" s="41"/>
      <c r="AK44" s="34"/>
      <c r="AL44" s="40"/>
      <c r="AM44" s="41"/>
      <c r="AO44" s="34"/>
      <c r="AP44" s="40"/>
      <c r="AQ44" s="41"/>
      <c r="AS44" s="34"/>
      <c r="AT44" s="40"/>
      <c r="AU44" s="41"/>
      <c r="AW44" s="34"/>
      <c r="AX44" s="40"/>
      <c r="AY44" s="41"/>
      <c r="BA44" s="34"/>
      <c r="BB44" s="40"/>
      <c r="BC44" s="41"/>
      <c r="BE44" s="34"/>
      <c r="BF44" s="40"/>
      <c r="BG44" s="41"/>
      <c r="BI44" s="34"/>
      <c r="BJ44" s="40"/>
      <c r="BK44" s="41"/>
      <c r="BM44" s="38">
        <f t="shared" si="0"/>
        <v>13000000</v>
      </c>
      <c r="BN44" s="19"/>
    </row>
    <row r="45" spans="1:66" ht="15.75" hidden="1" x14ac:dyDescent="0.25">
      <c r="A45" s="29">
        <v>43</v>
      </c>
      <c r="B45" s="66" t="s">
        <v>277</v>
      </c>
      <c r="C45" s="13" t="s">
        <v>315</v>
      </c>
      <c r="D45" s="18" t="s">
        <v>272</v>
      </c>
      <c r="E45" s="16">
        <v>156</v>
      </c>
      <c r="F45" s="33">
        <v>43</v>
      </c>
      <c r="G45" s="16"/>
      <c r="I45" s="34">
        <v>47</v>
      </c>
      <c r="J45" s="35">
        <v>45601</v>
      </c>
      <c r="K45" s="36">
        <v>10000000</v>
      </c>
      <c r="L45" s="19"/>
      <c r="M45" s="34"/>
      <c r="N45" s="40"/>
      <c r="O45" s="41"/>
      <c r="P45" s="19"/>
      <c r="Q45" s="34"/>
      <c r="R45" s="40"/>
      <c r="S45" s="41"/>
      <c r="T45" s="19"/>
      <c r="U45" s="34"/>
      <c r="V45" s="40"/>
      <c r="W45" s="41"/>
      <c r="X45" s="19"/>
      <c r="Y45" s="34"/>
      <c r="Z45" s="40"/>
      <c r="AA45" s="41"/>
      <c r="AB45" s="19"/>
      <c r="AC45" s="34"/>
      <c r="AD45" s="40"/>
      <c r="AE45" s="41"/>
      <c r="AG45" s="34"/>
      <c r="AH45" s="40"/>
      <c r="AI45" s="41"/>
      <c r="AK45" s="34"/>
      <c r="AL45" s="40"/>
      <c r="AM45" s="41"/>
      <c r="AO45" s="34"/>
      <c r="AP45" s="40"/>
      <c r="AQ45" s="41"/>
      <c r="AS45" s="34"/>
      <c r="AT45" s="40"/>
      <c r="AU45" s="41"/>
      <c r="AW45" s="34"/>
      <c r="AX45" s="40"/>
      <c r="AY45" s="41"/>
      <c r="BA45" s="34"/>
      <c r="BB45" s="40"/>
      <c r="BC45" s="41"/>
      <c r="BE45" s="34"/>
      <c r="BF45" s="40"/>
      <c r="BG45" s="41"/>
      <c r="BI45" s="34"/>
      <c r="BJ45" s="40"/>
      <c r="BK45" s="41"/>
      <c r="BM45" s="38">
        <f t="shared" si="0"/>
        <v>10000000</v>
      </c>
      <c r="BN45" s="19"/>
    </row>
    <row r="46" spans="1:66" ht="15.75" hidden="1" x14ac:dyDescent="0.25">
      <c r="A46" s="29">
        <v>44</v>
      </c>
      <c r="B46" s="66" t="s">
        <v>277</v>
      </c>
      <c r="C46" s="13" t="s">
        <v>316</v>
      </c>
      <c r="D46" s="18" t="s">
        <v>317</v>
      </c>
      <c r="E46" s="16">
        <v>155</v>
      </c>
      <c r="F46" s="33">
        <v>44</v>
      </c>
      <c r="G46" s="16"/>
      <c r="I46" s="34">
        <v>115</v>
      </c>
      <c r="J46" s="35">
        <v>45634</v>
      </c>
      <c r="K46" s="36">
        <v>10000000</v>
      </c>
      <c r="L46" s="19"/>
      <c r="M46" s="34"/>
      <c r="N46" s="40"/>
      <c r="O46" s="41"/>
      <c r="P46" s="19"/>
      <c r="Q46" s="34"/>
      <c r="R46" s="40"/>
      <c r="S46" s="41"/>
      <c r="T46" s="19"/>
      <c r="U46" s="34"/>
      <c r="V46" s="40"/>
      <c r="W46" s="41"/>
      <c r="X46" s="19"/>
      <c r="Y46" s="34"/>
      <c r="Z46" s="40"/>
      <c r="AA46" s="41"/>
      <c r="AB46" s="19"/>
      <c r="AC46" s="34"/>
      <c r="AD46" s="40"/>
      <c r="AE46" s="41"/>
      <c r="AG46" s="34"/>
      <c r="AH46" s="40"/>
      <c r="AI46" s="41"/>
      <c r="AK46" s="34"/>
      <c r="AL46" s="40"/>
      <c r="AM46" s="41"/>
      <c r="AO46" s="34"/>
      <c r="AP46" s="40"/>
      <c r="AQ46" s="41"/>
      <c r="AS46" s="34"/>
      <c r="AT46" s="40"/>
      <c r="AU46" s="41"/>
      <c r="AW46" s="34"/>
      <c r="AX46" s="40"/>
      <c r="AY46" s="41"/>
      <c r="BA46" s="34"/>
      <c r="BB46" s="40"/>
      <c r="BC46" s="41"/>
      <c r="BE46" s="34"/>
      <c r="BF46" s="40"/>
      <c r="BG46" s="41"/>
      <c r="BI46" s="34"/>
      <c r="BJ46" s="40"/>
      <c r="BK46" s="41"/>
      <c r="BM46" s="38">
        <f t="shared" si="0"/>
        <v>10000000</v>
      </c>
      <c r="BN46" s="19"/>
    </row>
    <row r="47" spans="1:66" ht="15.75" hidden="1" x14ac:dyDescent="0.25">
      <c r="A47" s="29">
        <v>45</v>
      </c>
      <c r="B47" s="66" t="s">
        <v>277</v>
      </c>
      <c r="C47" s="13" t="s">
        <v>318</v>
      </c>
      <c r="D47" s="18" t="s">
        <v>242</v>
      </c>
      <c r="E47" s="16">
        <v>154</v>
      </c>
      <c r="F47" s="33">
        <v>45</v>
      </c>
      <c r="G47" s="56" t="s">
        <v>265</v>
      </c>
      <c r="I47" s="34">
        <v>319</v>
      </c>
      <c r="J47" s="35">
        <v>45760</v>
      </c>
      <c r="K47" s="36" t="s">
        <v>265</v>
      </c>
      <c r="L47" s="19"/>
      <c r="M47" s="34">
        <v>472</v>
      </c>
      <c r="N47" s="40">
        <v>45987</v>
      </c>
      <c r="O47" s="41" t="s">
        <v>263</v>
      </c>
      <c r="P47" s="19"/>
      <c r="Q47" s="34"/>
      <c r="R47" s="40"/>
      <c r="S47" s="41"/>
      <c r="T47" s="19"/>
      <c r="U47" s="34"/>
      <c r="V47" s="40"/>
      <c r="W47" s="41"/>
      <c r="X47" s="19"/>
      <c r="Y47" s="34"/>
      <c r="Z47" s="40"/>
      <c r="AA47" s="41"/>
      <c r="AB47" s="19"/>
      <c r="AC47" s="34"/>
      <c r="AD47" s="40"/>
      <c r="AE47" s="41"/>
      <c r="AG47" s="34"/>
      <c r="AH47" s="40"/>
      <c r="AI47" s="41"/>
      <c r="AK47" s="34"/>
      <c r="AL47" s="40"/>
      <c r="AM47" s="41"/>
      <c r="AO47" s="34"/>
      <c r="AP47" s="40"/>
      <c r="AQ47" s="41"/>
      <c r="AS47" s="34"/>
      <c r="AT47" s="40"/>
      <c r="AU47" s="41"/>
      <c r="AW47" s="34"/>
      <c r="AX47" s="40"/>
      <c r="AY47" s="41"/>
      <c r="BA47" s="34"/>
      <c r="BB47" s="40"/>
      <c r="BC47" s="41"/>
      <c r="BE47" s="34"/>
      <c r="BF47" s="40"/>
      <c r="BG47" s="41"/>
      <c r="BI47" s="34"/>
      <c r="BJ47" s="40"/>
      <c r="BK47" s="41"/>
      <c r="BM47" s="38">
        <f t="shared" si="0"/>
        <v>0</v>
      </c>
      <c r="BN47" s="19"/>
    </row>
    <row r="48" spans="1:66" ht="15.75" hidden="1" x14ac:dyDescent="0.25">
      <c r="A48" s="29">
        <v>46</v>
      </c>
      <c r="B48" s="66" t="s">
        <v>277</v>
      </c>
      <c r="C48" s="13" t="s">
        <v>319</v>
      </c>
      <c r="D48" s="18" t="s">
        <v>242</v>
      </c>
      <c r="E48" s="16">
        <v>153</v>
      </c>
      <c r="F48" s="33">
        <v>46</v>
      </c>
      <c r="G48" s="56" t="s">
        <v>265</v>
      </c>
      <c r="I48" s="34">
        <v>322</v>
      </c>
      <c r="J48" s="35">
        <v>45764</v>
      </c>
      <c r="K48" s="36" t="s">
        <v>265</v>
      </c>
      <c r="L48" s="19"/>
      <c r="M48" s="34">
        <v>448</v>
      </c>
      <c r="N48" s="40">
        <v>45963</v>
      </c>
      <c r="O48" s="41" t="s">
        <v>320</v>
      </c>
      <c r="P48" s="19"/>
      <c r="Q48" s="34">
        <v>474</v>
      </c>
      <c r="R48" s="40">
        <v>45987</v>
      </c>
      <c r="S48" s="41" t="s">
        <v>263</v>
      </c>
      <c r="T48" s="19"/>
      <c r="U48" s="34"/>
      <c r="V48" s="40"/>
      <c r="W48" s="41"/>
      <c r="X48" s="19"/>
      <c r="Y48" s="34"/>
      <c r="Z48" s="40"/>
      <c r="AA48" s="41"/>
      <c r="AB48" s="19"/>
      <c r="AC48" s="34"/>
      <c r="AD48" s="40"/>
      <c r="AE48" s="41"/>
      <c r="AG48" s="34"/>
      <c r="AH48" s="40"/>
      <c r="AI48" s="41"/>
      <c r="AK48" s="34"/>
      <c r="AL48" s="40"/>
      <c r="AM48" s="41"/>
      <c r="AO48" s="34"/>
      <c r="AP48" s="40"/>
      <c r="AQ48" s="41"/>
      <c r="AS48" s="34"/>
      <c r="AT48" s="40"/>
      <c r="AU48" s="41"/>
      <c r="AW48" s="34"/>
      <c r="AX48" s="40"/>
      <c r="AY48" s="41"/>
      <c r="BA48" s="34"/>
      <c r="BB48" s="40"/>
      <c r="BC48" s="41"/>
      <c r="BE48" s="34"/>
      <c r="BF48" s="40"/>
      <c r="BG48" s="41"/>
      <c r="BI48" s="34"/>
      <c r="BJ48" s="40"/>
      <c r="BK48" s="41"/>
      <c r="BM48" s="38">
        <f t="shared" si="0"/>
        <v>0</v>
      </c>
      <c r="BN48" s="19"/>
    </row>
    <row r="49" spans="1:66" ht="15.75" hidden="1" x14ac:dyDescent="0.25">
      <c r="A49" s="29">
        <v>47</v>
      </c>
      <c r="B49" s="66" t="s">
        <v>277</v>
      </c>
      <c r="C49" s="13" t="s">
        <v>321</v>
      </c>
      <c r="D49" s="18" t="s">
        <v>242</v>
      </c>
      <c r="E49" s="16">
        <v>152</v>
      </c>
      <c r="F49" s="33">
        <v>47</v>
      </c>
      <c r="G49" s="67"/>
      <c r="I49" s="34"/>
      <c r="J49" s="35"/>
      <c r="K49" s="36"/>
      <c r="L49" s="19"/>
      <c r="M49" s="34"/>
      <c r="N49" s="40"/>
      <c r="O49" s="41"/>
      <c r="P49" s="19"/>
      <c r="Q49" s="34"/>
      <c r="R49" s="40"/>
      <c r="S49" s="41"/>
      <c r="T49" s="19"/>
      <c r="U49" s="34"/>
      <c r="V49" s="40"/>
      <c r="W49" s="41"/>
      <c r="X49" s="19"/>
      <c r="Y49" s="34"/>
      <c r="Z49" s="40"/>
      <c r="AA49" s="41"/>
      <c r="AB49" s="19"/>
      <c r="AC49" s="34"/>
      <c r="AD49" s="40"/>
      <c r="AE49" s="41"/>
      <c r="AG49" s="34"/>
      <c r="AH49" s="40"/>
      <c r="AI49" s="41"/>
      <c r="AK49" s="34"/>
      <c r="AL49" s="40"/>
      <c r="AM49" s="41"/>
      <c r="AO49" s="34"/>
      <c r="AP49" s="40"/>
      <c r="AQ49" s="41"/>
      <c r="AS49" s="34"/>
      <c r="AT49" s="40"/>
      <c r="AU49" s="41"/>
      <c r="AW49" s="34"/>
      <c r="AX49" s="40"/>
      <c r="AY49" s="41"/>
      <c r="BA49" s="34"/>
      <c r="BB49" s="40"/>
      <c r="BC49" s="41"/>
      <c r="BE49" s="34"/>
      <c r="BF49" s="40"/>
      <c r="BG49" s="41"/>
      <c r="BI49" s="34"/>
      <c r="BJ49" s="40"/>
      <c r="BK49" s="41"/>
      <c r="BM49" s="38">
        <f t="shared" si="0"/>
        <v>0</v>
      </c>
      <c r="BN49" s="19"/>
    </row>
    <row r="50" spans="1:66" ht="15.75" hidden="1" x14ac:dyDescent="0.25">
      <c r="A50" s="29">
        <v>48</v>
      </c>
      <c r="B50" s="66" t="s">
        <v>277</v>
      </c>
      <c r="C50" s="12" t="s">
        <v>318</v>
      </c>
      <c r="D50" s="18" t="s">
        <v>242</v>
      </c>
      <c r="E50" s="16"/>
      <c r="F50" s="33">
        <v>48</v>
      </c>
      <c r="G50" s="56" t="s">
        <v>265</v>
      </c>
      <c r="I50" s="34">
        <v>306</v>
      </c>
      <c r="J50" s="35">
        <v>45743</v>
      </c>
      <c r="K50" s="36" t="s">
        <v>265</v>
      </c>
      <c r="L50" s="19"/>
      <c r="M50" s="34">
        <v>478</v>
      </c>
      <c r="N50" s="40">
        <v>45987</v>
      </c>
      <c r="O50" s="41" t="s">
        <v>263</v>
      </c>
      <c r="P50" s="19"/>
      <c r="Q50" s="34"/>
      <c r="R50" s="40"/>
      <c r="S50" s="41"/>
      <c r="T50" s="19"/>
      <c r="U50" s="34"/>
      <c r="V50" s="40"/>
      <c r="W50" s="41"/>
      <c r="X50" s="19"/>
      <c r="Y50" s="34"/>
      <c r="Z50" s="40"/>
      <c r="AA50" s="41"/>
      <c r="AB50" s="19"/>
      <c r="AC50" s="34"/>
      <c r="AD50" s="40"/>
      <c r="AE50" s="41"/>
      <c r="AG50" s="34"/>
      <c r="AH50" s="40"/>
      <c r="AI50" s="41"/>
      <c r="AK50" s="34"/>
      <c r="AL50" s="40"/>
      <c r="AM50" s="41"/>
      <c r="AO50" s="34"/>
      <c r="AP50" s="40"/>
      <c r="AQ50" s="41"/>
      <c r="AS50" s="34"/>
      <c r="AT50" s="40"/>
      <c r="AU50" s="41"/>
      <c r="AW50" s="34"/>
      <c r="AX50" s="40"/>
      <c r="AY50" s="41"/>
      <c r="BA50" s="34"/>
      <c r="BB50" s="40"/>
      <c r="BC50" s="41"/>
      <c r="BE50" s="34"/>
      <c r="BF50" s="40"/>
      <c r="BG50" s="41"/>
      <c r="BI50" s="34"/>
      <c r="BJ50" s="40"/>
      <c r="BK50" s="41"/>
      <c r="BM50" s="38">
        <f t="shared" si="0"/>
        <v>0</v>
      </c>
      <c r="BN50" s="19"/>
    </row>
    <row r="51" spans="1:66" ht="15.75" hidden="1" x14ac:dyDescent="0.25">
      <c r="A51" s="29">
        <v>49</v>
      </c>
      <c r="B51" s="66" t="s">
        <v>277</v>
      </c>
      <c r="C51" s="12" t="s">
        <v>318</v>
      </c>
      <c r="D51" s="18" t="s">
        <v>242</v>
      </c>
      <c r="E51" s="16">
        <v>78</v>
      </c>
      <c r="F51" s="33">
        <v>49</v>
      </c>
      <c r="G51" s="56" t="s">
        <v>265</v>
      </c>
      <c r="I51" s="34">
        <v>307</v>
      </c>
      <c r="J51" s="35">
        <v>45743</v>
      </c>
      <c r="K51" s="36" t="s">
        <v>265</v>
      </c>
      <c r="L51" s="19"/>
      <c r="M51" s="34">
        <v>479</v>
      </c>
      <c r="N51" s="40">
        <v>45987</v>
      </c>
      <c r="O51" s="41" t="s">
        <v>309</v>
      </c>
      <c r="P51" s="19"/>
      <c r="Q51" s="34"/>
      <c r="R51" s="40"/>
      <c r="S51" s="41"/>
      <c r="T51" s="19"/>
      <c r="U51" s="34"/>
      <c r="V51" s="40"/>
      <c r="W51" s="41"/>
      <c r="X51" s="19"/>
      <c r="Y51" s="34"/>
      <c r="Z51" s="40"/>
      <c r="AA51" s="41"/>
      <c r="AB51" s="19"/>
      <c r="AC51" s="34"/>
      <c r="AD51" s="40"/>
      <c r="AE51" s="41"/>
      <c r="AG51" s="34"/>
      <c r="AH51" s="40"/>
      <c r="AI51" s="41"/>
      <c r="AK51" s="34"/>
      <c r="AL51" s="40"/>
      <c r="AM51" s="41"/>
      <c r="AO51" s="34"/>
      <c r="AP51" s="40"/>
      <c r="AQ51" s="41"/>
      <c r="AS51" s="34"/>
      <c r="AT51" s="40"/>
      <c r="AU51" s="41"/>
      <c r="AW51" s="34"/>
      <c r="AX51" s="40"/>
      <c r="AY51" s="41"/>
      <c r="BA51" s="34"/>
      <c r="BB51" s="40"/>
      <c r="BC51" s="41"/>
      <c r="BE51" s="34"/>
      <c r="BF51" s="40"/>
      <c r="BG51" s="41"/>
      <c r="BI51" s="34"/>
      <c r="BJ51" s="40"/>
      <c r="BK51" s="41"/>
      <c r="BM51" s="38">
        <f t="shared" si="0"/>
        <v>0</v>
      </c>
      <c r="BN51" s="19"/>
    </row>
    <row r="52" spans="1:66" ht="15.75" hidden="1" x14ac:dyDescent="0.25">
      <c r="A52" s="29">
        <v>50</v>
      </c>
      <c r="B52" s="66" t="s">
        <v>277</v>
      </c>
      <c r="C52" s="12" t="s">
        <v>318</v>
      </c>
      <c r="D52" s="18" t="s">
        <v>242</v>
      </c>
      <c r="E52" s="16">
        <v>115</v>
      </c>
      <c r="F52" s="33">
        <v>50</v>
      </c>
      <c r="G52" s="56" t="s">
        <v>265</v>
      </c>
      <c r="I52" s="34">
        <v>303</v>
      </c>
      <c r="J52" s="35">
        <v>45743</v>
      </c>
      <c r="K52" s="36" t="s">
        <v>265</v>
      </c>
      <c r="L52" s="19"/>
      <c r="M52" s="34">
        <v>475</v>
      </c>
      <c r="N52" s="40">
        <v>45987</v>
      </c>
      <c r="O52" s="41" t="s">
        <v>263</v>
      </c>
      <c r="P52" s="19"/>
      <c r="Q52" s="34"/>
      <c r="R52" s="40"/>
      <c r="S52" s="41"/>
      <c r="T52" s="19"/>
      <c r="U52" s="34"/>
      <c r="V52" s="40"/>
      <c r="W52" s="41"/>
      <c r="X52" s="19"/>
      <c r="Y52" s="34"/>
      <c r="Z52" s="40"/>
      <c r="AA52" s="41"/>
      <c r="AB52" s="19"/>
      <c r="AC52" s="34"/>
      <c r="AD52" s="40"/>
      <c r="AE52" s="41"/>
      <c r="AG52" s="34"/>
      <c r="AH52" s="40"/>
      <c r="AI52" s="41"/>
      <c r="AK52" s="34"/>
      <c r="AL52" s="40"/>
      <c r="AM52" s="41"/>
      <c r="AO52" s="34"/>
      <c r="AP52" s="40"/>
      <c r="AQ52" s="41"/>
      <c r="AS52" s="34"/>
      <c r="AT52" s="40"/>
      <c r="AU52" s="41"/>
      <c r="AW52" s="34"/>
      <c r="AX52" s="40"/>
      <c r="AY52" s="41"/>
      <c r="BA52" s="34"/>
      <c r="BB52" s="40"/>
      <c r="BC52" s="41"/>
      <c r="BE52" s="34"/>
      <c r="BF52" s="40"/>
      <c r="BG52" s="41"/>
      <c r="BI52" s="34"/>
      <c r="BJ52" s="40"/>
      <c r="BK52" s="41"/>
      <c r="BM52" s="38">
        <f t="shared" si="0"/>
        <v>0</v>
      </c>
      <c r="BN52" s="19"/>
    </row>
    <row r="53" spans="1:66" ht="15.75" hidden="1" x14ac:dyDescent="0.25">
      <c r="A53" s="29">
        <v>7</v>
      </c>
      <c r="B53" s="66" t="s">
        <v>277</v>
      </c>
      <c r="C53" s="12" t="s">
        <v>318</v>
      </c>
      <c r="D53" s="18" t="s">
        <v>242</v>
      </c>
      <c r="E53" s="16">
        <v>119</v>
      </c>
      <c r="F53" s="33">
        <v>51</v>
      </c>
      <c r="G53" s="56" t="s">
        <v>265</v>
      </c>
      <c r="I53" s="34">
        <v>304</v>
      </c>
      <c r="J53" s="35">
        <v>45743</v>
      </c>
      <c r="K53" s="36" t="s">
        <v>265</v>
      </c>
      <c r="L53" s="19"/>
      <c r="M53" s="34">
        <v>476</v>
      </c>
      <c r="N53" s="40">
        <v>45987</v>
      </c>
      <c r="O53" s="41" t="s">
        <v>263</v>
      </c>
      <c r="P53" s="19"/>
      <c r="Q53" s="34"/>
      <c r="R53" s="40"/>
      <c r="S53" s="41"/>
      <c r="T53" s="19"/>
      <c r="U53" s="34"/>
      <c r="V53" s="40"/>
      <c r="W53" s="41"/>
      <c r="X53" s="19"/>
      <c r="Y53" s="34"/>
      <c r="Z53" s="40"/>
      <c r="AA53" s="41"/>
      <c r="AB53" s="19"/>
      <c r="AC53" s="34"/>
      <c r="AD53" s="40"/>
      <c r="AE53" s="41"/>
      <c r="AG53" s="34"/>
      <c r="AH53" s="40"/>
      <c r="AI53" s="41"/>
      <c r="AK53" s="34"/>
      <c r="AL53" s="40"/>
      <c r="AM53" s="41"/>
      <c r="AO53" s="34"/>
      <c r="AP53" s="40"/>
      <c r="AQ53" s="41"/>
      <c r="AS53" s="34"/>
      <c r="AT53" s="40"/>
      <c r="AU53" s="41"/>
      <c r="AW53" s="34"/>
      <c r="AX53" s="40"/>
      <c r="AY53" s="41"/>
      <c r="BA53" s="34"/>
      <c r="BB53" s="40"/>
      <c r="BC53" s="41"/>
      <c r="BE53" s="34"/>
      <c r="BF53" s="40"/>
      <c r="BG53" s="41"/>
      <c r="BI53" s="34"/>
      <c r="BJ53" s="40"/>
      <c r="BK53" s="41"/>
      <c r="BM53" s="38">
        <f t="shared" si="0"/>
        <v>0</v>
      </c>
      <c r="BN53" s="19"/>
    </row>
    <row r="54" spans="1:66" ht="15.75" hidden="1" x14ac:dyDescent="0.25">
      <c r="A54" s="29">
        <v>52</v>
      </c>
      <c r="B54" s="66" t="s">
        <v>277</v>
      </c>
      <c r="C54" s="12" t="s">
        <v>322</v>
      </c>
      <c r="D54" s="18" t="s">
        <v>242</v>
      </c>
      <c r="E54" s="16">
        <v>120</v>
      </c>
      <c r="F54" s="33">
        <v>52</v>
      </c>
      <c r="G54" s="56" t="s">
        <v>265</v>
      </c>
      <c r="I54" s="34">
        <v>323</v>
      </c>
      <c r="J54" s="35">
        <v>45764</v>
      </c>
      <c r="K54" s="36" t="s">
        <v>265</v>
      </c>
      <c r="L54" s="19"/>
      <c r="M54" s="34">
        <v>477</v>
      </c>
      <c r="N54" s="40">
        <v>45987</v>
      </c>
      <c r="O54" s="41" t="s">
        <v>263</v>
      </c>
      <c r="P54" s="19"/>
      <c r="Q54" s="34"/>
      <c r="R54" s="40"/>
      <c r="S54" s="41"/>
      <c r="T54" s="19"/>
      <c r="U54" s="34"/>
      <c r="V54" s="40"/>
      <c r="W54" s="41"/>
      <c r="X54" s="19"/>
      <c r="Y54" s="34"/>
      <c r="Z54" s="40"/>
      <c r="AA54" s="41"/>
      <c r="AB54" s="19"/>
      <c r="AC54" s="34"/>
      <c r="AD54" s="40"/>
      <c r="AE54" s="41"/>
      <c r="AG54" s="34"/>
      <c r="AH54" s="40"/>
      <c r="AI54" s="41"/>
      <c r="AK54" s="34"/>
      <c r="AL54" s="40"/>
      <c r="AM54" s="41"/>
      <c r="AO54" s="34"/>
      <c r="AP54" s="40"/>
      <c r="AQ54" s="41"/>
      <c r="AS54" s="34"/>
      <c r="AT54" s="40"/>
      <c r="AU54" s="41"/>
      <c r="AW54" s="34"/>
      <c r="AX54" s="40"/>
      <c r="AY54" s="41"/>
      <c r="BA54" s="34"/>
      <c r="BB54" s="40"/>
      <c r="BC54" s="41"/>
      <c r="BE54" s="34"/>
      <c r="BF54" s="40"/>
      <c r="BG54" s="41"/>
      <c r="BI54" s="34"/>
      <c r="BJ54" s="40"/>
      <c r="BK54" s="41"/>
      <c r="BM54" s="38">
        <f t="shared" si="0"/>
        <v>0</v>
      </c>
      <c r="BN54" s="19"/>
    </row>
    <row r="55" spans="1:66" ht="15.75" hidden="1" x14ac:dyDescent="0.25">
      <c r="A55" s="29">
        <v>53</v>
      </c>
      <c r="B55" s="66" t="s">
        <v>277</v>
      </c>
      <c r="C55" s="43" t="s">
        <v>323</v>
      </c>
      <c r="D55" s="44"/>
      <c r="E55" s="20">
        <v>80</v>
      </c>
      <c r="F55" s="45">
        <v>53</v>
      </c>
      <c r="G55" s="67"/>
      <c r="I55" s="34"/>
      <c r="J55" s="35"/>
      <c r="K55" s="36"/>
      <c r="L55" s="19"/>
      <c r="M55" s="34"/>
      <c r="N55" s="40"/>
      <c r="O55" s="41"/>
      <c r="P55" s="19"/>
      <c r="Q55" s="34"/>
      <c r="R55" s="40"/>
      <c r="S55" s="41"/>
      <c r="T55" s="19"/>
      <c r="U55" s="34"/>
      <c r="V55" s="40"/>
      <c r="W55" s="41"/>
      <c r="X55" s="19"/>
      <c r="Y55" s="34"/>
      <c r="Z55" s="40"/>
      <c r="AA55" s="41"/>
      <c r="AB55" s="19"/>
      <c r="AC55" s="34"/>
      <c r="AD55" s="40"/>
      <c r="AE55" s="41"/>
      <c r="AG55" s="34"/>
      <c r="AH55" s="40"/>
      <c r="AI55" s="41"/>
      <c r="AK55" s="34"/>
      <c r="AL55" s="40"/>
      <c r="AM55" s="41"/>
      <c r="AO55" s="34"/>
      <c r="AP55" s="40"/>
      <c r="AQ55" s="41"/>
      <c r="AS55" s="34"/>
      <c r="AT55" s="40"/>
      <c r="AU55" s="41"/>
      <c r="AW55" s="34"/>
      <c r="AX55" s="40"/>
      <c r="AY55" s="41"/>
      <c r="BA55" s="34"/>
      <c r="BB55" s="40"/>
      <c r="BC55" s="41"/>
      <c r="BE55" s="34"/>
      <c r="BF55" s="40"/>
      <c r="BG55" s="41"/>
      <c r="BI55" s="34"/>
      <c r="BJ55" s="40"/>
      <c r="BK55" s="41"/>
      <c r="BM55" s="38">
        <f t="shared" si="0"/>
        <v>0</v>
      </c>
      <c r="BN55" s="19"/>
    </row>
    <row r="56" spans="1:66" ht="15.75" hidden="1" x14ac:dyDescent="0.25">
      <c r="A56" s="29">
        <v>54</v>
      </c>
      <c r="B56" s="68" t="s">
        <v>324</v>
      </c>
      <c r="C56" s="13" t="s">
        <v>325</v>
      </c>
      <c r="D56" s="18" t="s">
        <v>326</v>
      </c>
      <c r="E56" s="16">
        <v>1</v>
      </c>
      <c r="F56" s="33">
        <v>54</v>
      </c>
      <c r="G56" s="56" t="s">
        <v>265</v>
      </c>
      <c r="I56" s="34">
        <v>350</v>
      </c>
      <c r="J56" s="35">
        <v>45799</v>
      </c>
      <c r="K56" s="36" t="s">
        <v>265</v>
      </c>
      <c r="L56" s="19"/>
      <c r="M56" s="34"/>
      <c r="N56" s="35"/>
      <c r="O56" s="36"/>
      <c r="P56" s="19"/>
      <c r="Q56" s="34"/>
      <c r="R56" s="40"/>
      <c r="S56" s="41"/>
      <c r="T56" s="19"/>
      <c r="U56" s="34"/>
      <c r="V56" s="40"/>
      <c r="W56" s="41"/>
      <c r="X56" s="19"/>
      <c r="Y56" s="34"/>
      <c r="Z56" s="40"/>
      <c r="AA56" s="41"/>
      <c r="AB56" s="19"/>
      <c r="AC56" s="34"/>
      <c r="AD56" s="40"/>
      <c r="AE56" s="41"/>
      <c r="AG56" s="34"/>
      <c r="AH56" s="40"/>
      <c r="AI56" s="41"/>
      <c r="AK56" s="34"/>
      <c r="AL56" s="40"/>
      <c r="AM56" s="41"/>
      <c r="AO56" s="34"/>
      <c r="AP56" s="40"/>
      <c r="AQ56" s="41"/>
      <c r="AS56" s="34"/>
      <c r="AT56" s="40"/>
      <c r="AU56" s="41"/>
      <c r="AW56" s="34"/>
      <c r="AX56" s="40"/>
      <c r="AY56" s="41"/>
      <c r="BA56" s="34"/>
      <c r="BB56" s="40"/>
      <c r="BC56" s="41"/>
      <c r="BE56" s="34"/>
      <c r="BF56" s="40"/>
      <c r="BG56" s="41"/>
      <c r="BI56" s="34"/>
      <c r="BJ56" s="40"/>
      <c r="BK56" s="41"/>
      <c r="BM56" s="38">
        <f t="shared" si="0"/>
        <v>0</v>
      </c>
      <c r="BN56" s="19"/>
    </row>
    <row r="57" spans="1:66" ht="15.75" hidden="1" x14ac:dyDescent="0.25">
      <c r="A57" s="29">
        <v>55</v>
      </c>
      <c r="B57" s="68" t="s">
        <v>324</v>
      </c>
      <c r="C57" s="12" t="s">
        <v>327</v>
      </c>
      <c r="D57" s="5" t="s">
        <v>328</v>
      </c>
      <c r="E57" s="50">
        <v>3</v>
      </c>
      <c r="F57" s="51">
        <v>55</v>
      </c>
      <c r="G57" s="50"/>
      <c r="I57" s="52"/>
      <c r="J57" s="53"/>
      <c r="K57" s="54"/>
      <c r="L57" s="58"/>
      <c r="M57" s="52">
        <v>69</v>
      </c>
      <c r="N57" s="59">
        <v>45609</v>
      </c>
      <c r="O57" s="60">
        <v>6000000</v>
      </c>
      <c r="P57" s="58"/>
      <c r="Q57" s="52">
        <v>70</v>
      </c>
      <c r="R57" s="59">
        <v>45609</v>
      </c>
      <c r="S57" s="60">
        <v>7000000</v>
      </c>
      <c r="T57" s="19"/>
      <c r="U57" s="34">
        <v>151</v>
      </c>
      <c r="V57" s="40">
        <v>45650</v>
      </c>
      <c r="W57" s="41">
        <v>7000000</v>
      </c>
      <c r="X57" s="19"/>
      <c r="Y57" s="34">
        <v>209</v>
      </c>
      <c r="Z57" s="40">
        <v>45690</v>
      </c>
      <c r="AA57" s="41">
        <v>7000000</v>
      </c>
      <c r="AB57" s="19"/>
      <c r="AC57" s="34">
        <v>358</v>
      </c>
      <c r="AD57" s="40">
        <v>45809</v>
      </c>
      <c r="AE57" s="41">
        <v>6000000</v>
      </c>
      <c r="AG57" s="34" t="s">
        <v>329</v>
      </c>
      <c r="AH57" s="40">
        <v>45991</v>
      </c>
      <c r="AI57" s="41">
        <v>6000000</v>
      </c>
      <c r="AK57" s="34">
        <v>620</v>
      </c>
      <c r="AL57" s="40">
        <v>46191</v>
      </c>
      <c r="AM57" s="41">
        <v>6000000</v>
      </c>
      <c r="AO57" s="34"/>
      <c r="AP57" s="40"/>
      <c r="AQ57" s="41"/>
      <c r="AS57" s="34"/>
      <c r="AT57" s="40"/>
      <c r="AU57" s="41"/>
      <c r="AW57" s="34"/>
      <c r="AX57" s="40"/>
      <c r="AY57" s="41"/>
      <c r="BA57" s="34"/>
      <c r="BB57" s="40"/>
      <c r="BC57" s="41"/>
      <c r="BE57" s="34"/>
      <c r="BF57" s="40"/>
      <c r="BG57" s="41"/>
      <c r="BI57" s="34"/>
      <c r="BJ57" s="40"/>
      <c r="BK57" s="41"/>
      <c r="BM57" s="38">
        <f>SUM(K57,O57,S57,W57,AA57,AE57,AI57,AM57,AQ57,AU57,AY57,BC57,BG57,BK57)</f>
        <v>45000000</v>
      </c>
      <c r="BN57" s="19"/>
    </row>
    <row r="58" spans="1:66" ht="15.75" hidden="1" x14ac:dyDescent="0.25">
      <c r="A58" s="29">
        <v>56</v>
      </c>
      <c r="B58" s="68" t="s">
        <v>324</v>
      </c>
      <c r="C58" s="13" t="s">
        <v>330</v>
      </c>
      <c r="D58" s="18" t="s">
        <v>242</v>
      </c>
      <c r="E58" s="16">
        <v>5</v>
      </c>
      <c r="F58" s="33">
        <v>56</v>
      </c>
      <c r="G58" s="16"/>
      <c r="I58" s="34">
        <v>292</v>
      </c>
      <c r="J58" s="35">
        <v>45732</v>
      </c>
      <c r="K58" s="36">
        <v>8000000</v>
      </c>
      <c r="L58" s="19"/>
      <c r="M58" s="34">
        <v>293</v>
      </c>
      <c r="N58" s="40">
        <v>45732</v>
      </c>
      <c r="O58" s="41">
        <v>6000000</v>
      </c>
      <c r="P58" s="19"/>
      <c r="Q58" s="34">
        <v>294</v>
      </c>
      <c r="R58" s="40">
        <v>45732</v>
      </c>
      <c r="S58" s="41">
        <v>7000000</v>
      </c>
      <c r="T58" s="19"/>
      <c r="U58" s="34">
        <v>295</v>
      </c>
      <c r="V58" s="40">
        <v>45732</v>
      </c>
      <c r="W58" s="41">
        <v>7000000</v>
      </c>
      <c r="X58" s="19"/>
      <c r="Y58" s="34">
        <v>296</v>
      </c>
      <c r="Z58" s="40">
        <v>45732</v>
      </c>
      <c r="AA58" s="41">
        <v>7000000</v>
      </c>
      <c r="AB58" s="19"/>
      <c r="AC58" s="34">
        <v>339</v>
      </c>
      <c r="AD58" s="40">
        <v>45785</v>
      </c>
      <c r="AE58" s="41">
        <v>6000000</v>
      </c>
      <c r="AG58" s="34">
        <v>503</v>
      </c>
      <c r="AH58" s="40">
        <v>46014</v>
      </c>
      <c r="AI58" s="41">
        <v>6000000</v>
      </c>
      <c r="AK58" s="34"/>
      <c r="AL58" s="40"/>
      <c r="AM58" s="41"/>
      <c r="AO58" s="34"/>
      <c r="AP58" s="40"/>
      <c r="AQ58" s="41"/>
      <c r="AS58" s="34"/>
      <c r="AT58" s="40"/>
      <c r="AU58" s="41"/>
      <c r="AW58" s="34"/>
      <c r="AX58" s="40"/>
      <c r="AY58" s="41"/>
      <c r="BA58" s="34"/>
      <c r="BB58" s="40"/>
      <c r="BC58" s="41"/>
      <c r="BE58" s="34"/>
      <c r="BF58" s="40"/>
      <c r="BG58" s="41"/>
      <c r="BI58" s="34"/>
      <c r="BJ58" s="40"/>
      <c r="BK58" s="41"/>
      <c r="BM58" s="38">
        <f t="shared" si="0"/>
        <v>47000000</v>
      </c>
      <c r="BN58" s="19"/>
    </row>
    <row r="59" spans="1:66" ht="15.75" hidden="1" x14ac:dyDescent="0.25">
      <c r="A59" s="29">
        <v>57</v>
      </c>
      <c r="B59" s="68" t="s">
        <v>324</v>
      </c>
      <c r="C59" s="13" t="s">
        <v>331</v>
      </c>
      <c r="D59" s="18" t="s">
        <v>332</v>
      </c>
      <c r="E59" s="16">
        <v>7</v>
      </c>
      <c r="F59" s="33">
        <v>57</v>
      </c>
      <c r="G59" s="16"/>
      <c r="I59" s="34"/>
      <c r="J59" s="35"/>
      <c r="K59" s="36"/>
      <c r="L59" s="19"/>
      <c r="M59" s="34">
        <v>142</v>
      </c>
      <c r="N59" s="40">
        <v>45645</v>
      </c>
      <c r="O59" s="41">
        <v>6000000</v>
      </c>
      <c r="P59" s="19"/>
      <c r="Q59" s="34" t="s">
        <v>333</v>
      </c>
      <c r="R59" s="40">
        <v>45645</v>
      </c>
      <c r="S59" s="41">
        <v>7000000</v>
      </c>
      <c r="T59" s="19"/>
      <c r="U59" s="34">
        <v>174</v>
      </c>
      <c r="V59" s="40">
        <v>45662</v>
      </c>
      <c r="W59" s="41">
        <v>7000000</v>
      </c>
      <c r="X59" s="19"/>
      <c r="Y59" s="34">
        <v>237</v>
      </c>
      <c r="Z59" s="40">
        <v>45701</v>
      </c>
      <c r="AA59" s="41">
        <v>7000000</v>
      </c>
      <c r="AB59" s="19"/>
      <c r="AC59" s="34">
        <v>369</v>
      </c>
      <c r="AD59" s="40">
        <v>45826</v>
      </c>
      <c r="AE59" s="41">
        <v>6000000</v>
      </c>
      <c r="AG59" s="34">
        <v>509</v>
      </c>
      <c r="AH59" s="40">
        <v>46020</v>
      </c>
      <c r="AI59" s="41">
        <v>6000000</v>
      </c>
      <c r="AK59" s="34">
        <v>628</v>
      </c>
      <c r="AL59" s="40">
        <v>46210</v>
      </c>
      <c r="AM59" s="41">
        <v>6000000</v>
      </c>
      <c r="AO59" s="34"/>
      <c r="AP59" s="40"/>
      <c r="AQ59" s="41"/>
      <c r="AS59" s="34"/>
      <c r="AT59" s="40"/>
      <c r="AU59" s="41"/>
      <c r="AW59" s="34"/>
      <c r="AX59" s="40"/>
      <c r="AY59" s="41"/>
      <c r="BA59" s="34"/>
      <c r="BB59" s="40"/>
      <c r="BC59" s="41"/>
      <c r="BE59" s="34"/>
      <c r="BF59" s="40"/>
      <c r="BG59" s="41"/>
      <c r="BI59" s="34"/>
      <c r="BJ59" s="40"/>
      <c r="BK59" s="41"/>
      <c r="BM59" s="38">
        <f t="shared" si="0"/>
        <v>45000000</v>
      </c>
      <c r="BN59" s="19"/>
    </row>
    <row r="60" spans="1:66" ht="15.75" hidden="1" x14ac:dyDescent="0.25">
      <c r="A60" s="29">
        <v>58</v>
      </c>
      <c r="B60" s="68" t="s">
        <v>324</v>
      </c>
      <c r="C60" s="13" t="s">
        <v>334</v>
      </c>
      <c r="D60" s="18" t="s">
        <v>335</v>
      </c>
      <c r="E60" s="16">
        <v>11</v>
      </c>
      <c r="F60" s="33">
        <v>58</v>
      </c>
      <c r="G60" s="16"/>
      <c r="I60" s="34"/>
      <c r="J60" s="35"/>
      <c r="K60" s="36"/>
      <c r="L60" s="19"/>
      <c r="M60" s="34">
        <v>1</v>
      </c>
      <c r="N60" s="40">
        <v>45574</v>
      </c>
      <c r="O60" s="42">
        <v>6000000</v>
      </c>
      <c r="P60" s="19"/>
      <c r="Q60" s="34">
        <v>1</v>
      </c>
      <c r="R60" s="40">
        <v>45574</v>
      </c>
      <c r="S60" s="42">
        <v>7000000</v>
      </c>
      <c r="T60" s="19"/>
      <c r="U60" s="34">
        <v>113</v>
      </c>
      <c r="V60" s="40">
        <v>45633</v>
      </c>
      <c r="W60" s="41">
        <v>7000000</v>
      </c>
      <c r="X60" s="19"/>
      <c r="Y60" s="34">
        <v>140</v>
      </c>
      <c r="Z60" s="40">
        <v>45644</v>
      </c>
      <c r="AA60" s="41">
        <v>7000000</v>
      </c>
      <c r="AB60" s="19"/>
      <c r="AC60" s="34">
        <v>299</v>
      </c>
      <c r="AD60" s="40">
        <v>45738</v>
      </c>
      <c r="AE60" s="41">
        <v>6000000</v>
      </c>
      <c r="AG60" s="34">
        <v>453</v>
      </c>
      <c r="AH60" s="40">
        <v>45973</v>
      </c>
      <c r="AI60" s="41">
        <v>6000000</v>
      </c>
      <c r="AK60" s="34">
        <v>615</v>
      </c>
      <c r="AL60" s="40">
        <v>46173</v>
      </c>
      <c r="AM60" s="41">
        <v>6000000</v>
      </c>
      <c r="AO60" s="34"/>
      <c r="AP60" s="40"/>
      <c r="AQ60" s="41"/>
      <c r="AS60" s="34"/>
      <c r="AT60" s="40"/>
      <c r="AU60" s="41"/>
      <c r="AW60" s="34"/>
      <c r="AX60" s="40"/>
      <c r="AY60" s="41"/>
      <c r="BA60" s="34"/>
      <c r="BB60" s="40"/>
      <c r="BC60" s="41"/>
      <c r="BE60" s="34"/>
      <c r="BF60" s="40"/>
      <c r="BG60" s="41"/>
      <c r="BI60" s="34"/>
      <c r="BJ60" s="40"/>
      <c r="BK60" s="41"/>
      <c r="BM60" s="38">
        <f t="shared" si="0"/>
        <v>45000000</v>
      </c>
      <c r="BN60" s="19"/>
    </row>
    <row r="61" spans="1:66" ht="15.75" hidden="1" x14ac:dyDescent="0.25">
      <c r="A61" s="29">
        <v>59</v>
      </c>
      <c r="B61" s="68" t="s">
        <v>324</v>
      </c>
      <c r="C61" s="13" t="s">
        <v>336</v>
      </c>
      <c r="D61" s="18" t="s">
        <v>242</v>
      </c>
      <c r="E61" s="16">
        <v>13</v>
      </c>
      <c r="F61" s="33">
        <v>59</v>
      </c>
      <c r="G61" s="56" t="s">
        <v>265</v>
      </c>
      <c r="I61" s="34">
        <v>341</v>
      </c>
      <c r="J61" s="35">
        <v>45788</v>
      </c>
      <c r="K61" s="36" t="s">
        <v>265</v>
      </c>
      <c r="L61" s="19"/>
      <c r="M61" s="34"/>
      <c r="N61" s="40"/>
      <c r="O61" s="41"/>
      <c r="P61" s="19"/>
      <c r="Q61" s="34"/>
      <c r="R61" s="40"/>
      <c r="S61" s="41"/>
      <c r="T61" s="19"/>
      <c r="U61" s="34"/>
      <c r="V61" s="40"/>
      <c r="W61" s="41"/>
      <c r="X61" s="19"/>
      <c r="Y61" s="34"/>
      <c r="Z61" s="40"/>
      <c r="AA61" s="41"/>
      <c r="AB61" s="19"/>
      <c r="AC61" s="34"/>
      <c r="AD61" s="40"/>
      <c r="AE61" s="41"/>
      <c r="AG61" s="34"/>
      <c r="AH61" s="40"/>
      <c r="AI61" s="41"/>
      <c r="AK61" s="34"/>
      <c r="AL61" s="40"/>
      <c r="AM61" s="41"/>
      <c r="AO61" s="34"/>
      <c r="AP61" s="40"/>
      <c r="AQ61" s="41"/>
      <c r="AS61" s="34"/>
      <c r="AT61" s="40"/>
      <c r="AU61" s="41"/>
      <c r="AW61" s="34"/>
      <c r="AX61" s="40"/>
      <c r="AY61" s="41"/>
      <c r="BA61" s="34"/>
      <c r="BB61" s="40"/>
      <c r="BC61" s="41"/>
      <c r="BE61" s="34"/>
      <c r="BF61" s="40"/>
      <c r="BG61" s="41"/>
      <c r="BI61" s="34"/>
      <c r="BJ61" s="40"/>
      <c r="BK61" s="41"/>
      <c r="BM61" s="38">
        <f t="shared" si="0"/>
        <v>0</v>
      </c>
      <c r="BN61" s="19"/>
    </row>
    <row r="62" spans="1:66" ht="15.75" hidden="1" x14ac:dyDescent="0.25">
      <c r="A62" s="29">
        <v>60</v>
      </c>
      <c r="B62" s="68" t="s">
        <v>324</v>
      </c>
      <c r="C62" s="13" t="s">
        <v>337</v>
      </c>
      <c r="D62" s="18" t="s">
        <v>338</v>
      </c>
      <c r="E62" s="16">
        <v>15</v>
      </c>
      <c r="F62" s="33">
        <v>60</v>
      </c>
      <c r="G62" s="16"/>
      <c r="I62" s="34"/>
      <c r="J62" s="35"/>
      <c r="K62" s="36"/>
      <c r="L62" s="19"/>
      <c r="M62" s="34">
        <v>20</v>
      </c>
      <c r="N62" s="40">
        <v>45593</v>
      </c>
      <c r="O62" s="41">
        <v>6000000</v>
      </c>
      <c r="P62" s="19"/>
      <c r="Q62" s="34">
        <v>152</v>
      </c>
      <c r="R62" s="40">
        <v>45651</v>
      </c>
      <c r="S62" s="41">
        <v>7000000</v>
      </c>
      <c r="T62" s="19"/>
      <c r="U62" s="34">
        <v>225</v>
      </c>
      <c r="V62" s="40">
        <v>45697</v>
      </c>
      <c r="W62" s="41">
        <v>7000000</v>
      </c>
      <c r="X62" s="19"/>
      <c r="Y62" s="34" t="s">
        <v>339</v>
      </c>
      <c r="Z62" s="40">
        <v>45752</v>
      </c>
      <c r="AA62" s="41">
        <v>7000000</v>
      </c>
      <c r="AB62" s="19"/>
      <c r="AC62" s="34" t="s">
        <v>771</v>
      </c>
      <c r="AD62" s="40">
        <v>45995</v>
      </c>
      <c r="AE62" s="41">
        <v>6000000</v>
      </c>
      <c r="AG62" s="34" t="s">
        <v>1322</v>
      </c>
      <c r="AH62" s="40">
        <v>46071</v>
      </c>
      <c r="AI62" s="41">
        <v>6000000</v>
      </c>
      <c r="AK62" s="34" t="s">
        <v>1818</v>
      </c>
      <c r="AL62" s="40">
        <v>46162</v>
      </c>
      <c r="AM62" s="41">
        <v>6000000</v>
      </c>
      <c r="AO62" s="34"/>
      <c r="AP62" s="40"/>
      <c r="AQ62" s="41"/>
      <c r="AS62" s="34"/>
      <c r="AT62" s="40"/>
      <c r="AU62" s="41"/>
      <c r="AW62" s="34"/>
      <c r="AX62" s="40"/>
      <c r="AY62" s="41"/>
      <c r="BA62" s="34"/>
      <c r="BB62" s="40"/>
      <c r="BC62" s="41"/>
      <c r="BE62" s="34"/>
      <c r="BF62" s="40"/>
      <c r="BG62" s="41"/>
      <c r="BI62" s="34"/>
      <c r="BJ62" s="40"/>
      <c r="BK62" s="41"/>
      <c r="BM62" s="38">
        <f t="shared" si="0"/>
        <v>45000000</v>
      </c>
      <c r="BN62" s="19"/>
    </row>
    <row r="63" spans="1:66" ht="15.75" hidden="1" x14ac:dyDescent="0.25">
      <c r="A63" s="29">
        <v>61</v>
      </c>
      <c r="B63" s="68" t="s">
        <v>324</v>
      </c>
      <c r="C63" s="12" t="s">
        <v>48</v>
      </c>
      <c r="D63" s="5" t="s">
        <v>340</v>
      </c>
      <c r="E63" s="50">
        <v>17</v>
      </c>
      <c r="F63" s="51">
        <v>61</v>
      </c>
      <c r="G63" s="50"/>
      <c r="I63" s="52"/>
      <c r="J63" s="53"/>
      <c r="K63" s="54"/>
      <c r="L63" s="58"/>
      <c r="M63" s="52">
        <v>60</v>
      </c>
      <c r="N63" s="59">
        <v>45606</v>
      </c>
      <c r="O63" s="60">
        <v>6000000</v>
      </c>
      <c r="P63" s="58"/>
      <c r="Q63" s="52" t="s">
        <v>341</v>
      </c>
      <c r="R63" s="59">
        <v>45606</v>
      </c>
      <c r="S63" s="60">
        <v>7000000</v>
      </c>
      <c r="T63" s="19"/>
      <c r="U63" s="34">
        <v>205</v>
      </c>
      <c r="V63" s="40">
        <v>45689</v>
      </c>
      <c r="W63" s="41">
        <v>7000000</v>
      </c>
      <c r="X63" s="19"/>
      <c r="Y63" s="34" t="s">
        <v>342</v>
      </c>
      <c r="Z63" s="40">
        <v>45721</v>
      </c>
      <c r="AA63" s="41">
        <v>7000000</v>
      </c>
      <c r="AB63" s="19"/>
      <c r="AC63" s="34" t="s">
        <v>343</v>
      </c>
      <c r="AD63" s="40">
        <v>45845</v>
      </c>
      <c r="AE63" s="41">
        <v>6000000</v>
      </c>
      <c r="AG63" s="165" t="s">
        <v>945</v>
      </c>
      <c r="AH63" s="40">
        <v>46026</v>
      </c>
      <c r="AI63" s="41">
        <v>6000000</v>
      </c>
      <c r="AK63" s="34">
        <v>621</v>
      </c>
      <c r="AL63" s="40">
        <v>46191</v>
      </c>
      <c r="AM63" s="41">
        <v>6000000</v>
      </c>
      <c r="AO63" s="34"/>
      <c r="AP63" s="40"/>
      <c r="AQ63" s="41"/>
      <c r="AS63" s="34"/>
      <c r="AT63" s="40"/>
      <c r="AU63" s="41"/>
      <c r="AW63" s="34"/>
      <c r="AX63" s="40"/>
      <c r="AY63" s="41"/>
      <c r="BA63" s="34"/>
      <c r="BB63" s="40"/>
      <c r="BC63" s="41"/>
      <c r="BE63" s="34"/>
      <c r="BF63" s="40"/>
      <c r="BG63" s="41"/>
      <c r="BI63" s="34"/>
      <c r="BJ63" s="40"/>
      <c r="BK63" s="41"/>
      <c r="BM63" s="38">
        <f t="shared" si="0"/>
        <v>45000000</v>
      </c>
      <c r="BN63" s="19"/>
    </row>
    <row r="64" spans="1:66" ht="15.75" hidden="1" x14ac:dyDescent="0.25">
      <c r="A64" s="29">
        <v>62</v>
      </c>
      <c r="B64" s="68" t="s">
        <v>324</v>
      </c>
      <c r="C64" s="12" t="s">
        <v>344</v>
      </c>
      <c r="D64" s="5" t="s">
        <v>345</v>
      </c>
      <c r="E64" s="50">
        <v>19</v>
      </c>
      <c r="F64" s="51">
        <v>62</v>
      </c>
      <c r="G64" s="50"/>
      <c r="I64" s="52"/>
      <c r="J64" s="53"/>
      <c r="K64" s="54"/>
      <c r="L64" s="58"/>
      <c r="M64" s="52">
        <v>94</v>
      </c>
      <c r="N64" s="59">
        <v>45622</v>
      </c>
      <c r="O64" s="60">
        <v>6000000</v>
      </c>
      <c r="P64" s="19"/>
      <c r="Q64" s="34">
        <v>210</v>
      </c>
      <c r="R64" s="40">
        <v>45690</v>
      </c>
      <c r="S64" s="41">
        <v>7000000</v>
      </c>
      <c r="T64" s="19"/>
      <c r="U64" s="34">
        <v>234</v>
      </c>
      <c r="V64" s="40">
        <v>45700</v>
      </c>
      <c r="W64" s="41">
        <v>7000000</v>
      </c>
      <c r="X64" s="19"/>
      <c r="Y64" s="34">
        <v>386</v>
      </c>
      <c r="Z64" s="40">
        <v>45850</v>
      </c>
      <c r="AA64" s="41">
        <v>7000000</v>
      </c>
      <c r="AB64" s="19"/>
      <c r="AC64" s="34">
        <v>386</v>
      </c>
      <c r="AD64" s="40">
        <v>45850</v>
      </c>
      <c r="AE64" s="41">
        <v>6000000</v>
      </c>
      <c r="AG64" s="34">
        <v>386</v>
      </c>
      <c r="AH64" s="40">
        <v>45850</v>
      </c>
      <c r="AI64" s="41">
        <v>7000000</v>
      </c>
      <c r="AK64" s="34">
        <v>386</v>
      </c>
      <c r="AL64" s="40">
        <v>45850</v>
      </c>
      <c r="AM64" s="41">
        <v>7000000</v>
      </c>
      <c r="AO64" s="34">
        <v>386</v>
      </c>
      <c r="AP64" s="40">
        <v>45850</v>
      </c>
      <c r="AQ64" s="41">
        <v>1000000</v>
      </c>
      <c r="AS64" s="34"/>
      <c r="AT64" s="40"/>
      <c r="AU64" s="41"/>
      <c r="AW64" s="34"/>
      <c r="AX64" s="40"/>
      <c r="AY64" s="41"/>
      <c r="BA64" s="34"/>
      <c r="BB64" s="40"/>
      <c r="BC64" s="41"/>
      <c r="BE64" s="34"/>
      <c r="BF64" s="40"/>
      <c r="BG64" s="41"/>
      <c r="BI64" s="34"/>
      <c r="BJ64" s="40"/>
      <c r="BK64" s="41"/>
      <c r="BM64" s="38">
        <f t="shared" si="0"/>
        <v>48000000</v>
      </c>
      <c r="BN64" s="19"/>
    </row>
    <row r="65" spans="1:66" ht="15.75" hidden="1" x14ac:dyDescent="0.25">
      <c r="A65" s="29">
        <v>63</v>
      </c>
      <c r="B65" s="68" t="s">
        <v>324</v>
      </c>
      <c r="C65" s="12" t="s">
        <v>792</v>
      </c>
      <c r="D65" s="18" t="s">
        <v>242</v>
      </c>
      <c r="E65" s="16">
        <v>21</v>
      </c>
      <c r="F65" s="33">
        <v>63</v>
      </c>
      <c r="G65" s="56" t="s">
        <v>347</v>
      </c>
      <c r="I65" s="34">
        <v>449</v>
      </c>
      <c r="J65" s="35">
        <v>45878</v>
      </c>
      <c r="K65" s="36">
        <v>100000000</v>
      </c>
      <c r="L65" s="19"/>
      <c r="M65" s="34"/>
      <c r="N65" s="40"/>
      <c r="O65" s="41"/>
      <c r="P65" s="19"/>
      <c r="Q65" s="34"/>
      <c r="R65" s="40"/>
      <c r="S65" s="41"/>
      <c r="T65" s="19"/>
      <c r="U65" s="34"/>
      <c r="V65" s="40"/>
      <c r="W65" s="41"/>
      <c r="X65" s="19"/>
      <c r="Y65" s="34"/>
      <c r="Z65" s="40"/>
      <c r="AA65" s="41"/>
      <c r="AB65" s="19"/>
      <c r="AC65" s="34"/>
      <c r="AD65" s="40"/>
      <c r="AE65" s="41"/>
      <c r="AG65" s="34"/>
      <c r="AH65" s="40"/>
      <c r="AI65" s="41"/>
      <c r="AK65" s="34"/>
      <c r="AL65" s="40"/>
      <c r="AM65" s="41"/>
      <c r="AO65" s="34"/>
      <c r="AP65" s="40"/>
      <c r="AQ65" s="41"/>
      <c r="AS65" s="34"/>
      <c r="AT65" s="40"/>
      <c r="AU65" s="41"/>
      <c r="AW65" s="34"/>
      <c r="AX65" s="40"/>
      <c r="AY65" s="41"/>
      <c r="BA65" s="34"/>
      <c r="BB65" s="40"/>
      <c r="BC65" s="41"/>
      <c r="BE65" s="34"/>
      <c r="BF65" s="40"/>
      <c r="BG65" s="41"/>
      <c r="BI65" s="34"/>
      <c r="BJ65" s="40"/>
      <c r="BK65" s="41"/>
      <c r="BM65" s="38">
        <f t="shared" si="0"/>
        <v>100000000</v>
      </c>
      <c r="BN65" s="19"/>
    </row>
    <row r="66" spans="1:66" ht="15.75" hidden="1" x14ac:dyDescent="0.25">
      <c r="A66" s="29">
        <v>64</v>
      </c>
      <c r="B66" s="68" t="s">
        <v>324</v>
      </c>
      <c r="C66" s="12" t="s">
        <v>348</v>
      </c>
      <c r="D66" s="5" t="s">
        <v>349</v>
      </c>
      <c r="E66" s="50">
        <v>27</v>
      </c>
      <c r="F66" s="51">
        <v>64</v>
      </c>
      <c r="G66" s="50"/>
      <c r="I66" s="52"/>
      <c r="J66" s="53"/>
      <c r="K66" s="54"/>
      <c r="L66" s="58"/>
      <c r="M66" s="52">
        <v>100</v>
      </c>
      <c r="N66" s="59">
        <v>45626</v>
      </c>
      <c r="O66" s="60">
        <v>6000000</v>
      </c>
      <c r="P66" s="19"/>
      <c r="Q66" s="34">
        <v>172</v>
      </c>
      <c r="R66" s="40">
        <v>45661</v>
      </c>
      <c r="S66" s="41">
        <v>7000000</v>
      </c>
      <c r="T66" s="19"/>
      <c r="U66" s="34">
        <v>290</v>
      </c>
      <c r="V66" s="40">
        <v>45731</v>
      </c>
      <c r="W66" s="41">
        <v>7000000</v>
      </c>
      <c r="X66" s="19"/>
      <c r="Y66" s="34">
        <v>291</v>
      </c>
      <c r="Z66" s="40">
        <v>45731</v>
      </c>
      <c r="AA66" s="41">
        <v>7000000</v>
      </c>
      <c r="AB66" s="19"/>
      <c r="AC66" s="34">
        <v>331</v>
      </c>
      <c r="AD66" s="40">
        <v>45773</v>
      </c>
      <c r="AE66" s="41">
        <v>6000000</v>
      </c>
      <c r="AG66" s="34">
        <v>334</v>
      </c>
      <c r="AH66" s="40">
        <v>45781</v>
      </c>
      <c r="AI66" s="41">
        <v>6000000</v>
      </c>
      <c r="AK66" s="34">
        <v>335</v>
      </c>
      <c r="AL66" s="40">
        <v>45781</v>
      </c>
      <c r="AM66" s="41">
        <v>6000000</v>
      </c>
      <c r="AO66" s="34">
        <v>336</v>
      </c>
      <c r="AP66" s="40">
        <v>45781</v>
      </c>
      <c r="AQ66" s="41">
        <v>3000000</v>
      </c>
      <c r="AS66" s="34"/>
      <c r="AT66" s="40"/>
      <c r="AU66" s="41"/>
      <c r="AW66" s="34"/>
      <c r="AX66" s="40"/>
      <c r="AY66" s="41"/>
      <c r="BA66" s="34"/>
      <c r="BB66" s="40"/>
      <c r="BC66" s="41"/>
      <c r="BE66" s="34"/>
      <c r="BF66" s="40"/>
      <c r="BG66" s="41"/>
      <c r="BI66" s="34"/>
      <c r="BJ66" s="40"/>
      <c r="BK66" s="41"/>
      <c r="BM66" s="38">
        <f t="shared" si="0"/>
        <v>48000000</v>
      </c>
      <c r="BN66" s="19"/>
    </row>
    <row r="67" spans="1:66" ht="15.75" hidden="1" x14ac:dyDescent="0.25">
      <c r="A67" s="29">
        <v>65</v>
      </c>
      <c r="B67" s="68" t="s">
        <v>324</v>
      </c>
      <c r="C67" s="12" t="s">
        <v>350</v>
      </c>
      <c r="D67" s="5" t="s">
        <v>351</v>
      </c>
      <c r="E67" s="50">
        <v>29</v>
      </c>
      <c r="F67" s="51">
        <v>65</v>
      </c>
      <c r="G67" s="16"/>
      <c r="I67" s="34">
        <v>196</v>
      </c>
      <c r="J67" s="35">
        <v>45680</v>
      </c>
      <c r="K67" s="36">
        <v>8000000</v>
      </c>
      <c r="L67" s="19"/>
      <c r="M67" s="34">
        <v>198</v>
      </c>
      <c r="N67" s="40">
        <v>45680</v>
      </c>
      <c r="O67" s="41">
        <v>6000000</v>
      </c>
      <c r="P67" s="19"/>
      <c r="Q67" s="34">
        <v>198</v>
      </c>
      <c r="R67" s="40">
        <v>45680</v>
      </c>
      <c r="S67" s="41">
        <v>7000000</v>
      </c>
      <c r="T67" s="19"/>
      <c r="U67" s="34">
        <v>198</v>
      </c>
      <c r="V67" s="40">
        <v>45680</v>
      </c>
      <c r="W67" s="41">
        <v>7000000</v>
      </c>
      <c r="X67" s="19"/>
      <c r="Y67" s="34">
        <v>285</v>
      </c>
      <c r="Z67" s="40">
        <v>45722</v>
      </c>
      <c r="AA67" s="41">
        <v>7000000</v>
      </c>
      <c r="AB67" s="19"/>
      <c r="AC67" s="34">
        <v>318</v>
      </c>
      <c r="AD67" s="40">
        <v>45760</v>
      </c>
      <c r="AE67" s="41">
        <v>6000000</v>
      </c>
      <c r="AG67" s="34">
        <v>356</v>
      </c>
      <c r="AH67" s="40">
        <v>45808</v>
      </c>
      <c r="AI67" s="41">
        <v>6000000</v>
      </c>
      <c r="AK67" s="34" t="s">
        <v>352</v>
      </c>
      <c r="AL67" s="40">
        <v>45808</v>
      </c>
      <c r="AM67" s="41">
        <v>7000000</v>
      </c>
      <c r="AO67" s="34">
        <v>390</v>
      </c>
      <c r="AP67" s="40">
        <v>45865</v>
      </c>
      <c r="AQ67" s="41">
        <v>7000000</v>
      </c>
      <c r="AS67" s="34">
        <v>522</v>
      </c>
      <c r="AT67" s="40">
        <v>46035</v>
      </c>
      <c r="AU67" s="41">
        <v>15000000</v>
      </c>
      <c r="AW67" s="34">
        <v>548</v>
      </c>
      <c r="AX67" s="40">
        <v>46074</v>
      </c>
      <c r="AY67" s="41">
        <v>10000000</v>
      </c>
      <c r="BA67" s="34">
        <v>586</v>
      </c>
      <c r="BB67" s="40">
        <v>46128</v>
      </c>
      <c r="BC67" s="41">
        <v>10000000</v>
      </c>
      <c r="BE67" s="34"/>
      <c r="BF67" s="40"/>
      <c r="BG67" s="41"/>
      <c r="BI67" s="34"/>
      <c r="BJ67" s="40"/>
      <c r="BK67" s="41"/>
      <c r="BM67" s="38">
        <f t="shared" si="0"/>
        <v>96000000</v>
      </c>
      <c r="BN67" s="19"/>
    </row>
    <row r="68" spans="1:66" ht="15.75" hidden="1" x14ac:dyDescent="0.25">
      <c r="A68" s="29">
        <v>66</v>
      </c>
      <c r="B68" s="68" t="s">
        <v>324</v>
      </c>
      <c r="C68" s="13" t="s">
        <v>147</v>
      </c>
      <c r="D68" s="18" t="s">
        <v>353</v>
      </c>
      <c r="E68" s="16">
        <v>31</v>
      </c>
      <c r="F68" s="33">
        <v>66</v>
      </c>
      <c r="G68" s="16"/>
      <c r="I68" s="34">
        <v>197</v>
      </c>
      <c r="J68" s="35">
        <v>45680</v>
      </c>
      <c r="K68" s="36">
        <v>8000000</v>
      </c>
      <c r="L68" s="19"/>
      <c r="M68" s="34">
        <v>199</v>
      </c>
      <c r="N68" s="40">
        <v>45680</v>
      </c>
      <c r="O68" s="41">
        <v>6000000</v>
      </c>
      <c r="P68" s="19"/>
      <c r="Q68" s="34">
        <v>199</v>
      </c>
      <c r="R68" s="40">
        <v>45680</v>
      </c>
      <c r="S68" s="41">
        <v>7000000</v>
      </c>
      <c r="T68" s="19"/>
      <c r="U68" s="34">
        <v>199</v>
      </c>
      <c r="V68" s="40">
        <v>45680</v>
      </c>
      <c r="W68" s="41">
        <v>7000000</v>
      </c>
      <c r="X68" s="19"/>
      <c r="Y68" s="34">
        <v>298</v>
      </c>
      <c r="Z68" s="40">
        <v>45734</v>
      </c>
      <c r="AA68" s="41">
        <v>7000000</v>
      </c>
      <c r="AB68" s="19"/>
      <c r="AC68" s="34">
        <v>329</v>
      </c>
      <c r="AD68" s="40">
        <v>45770</v>
      </c>
      <c r="AE68" s="41">
        <v>6000000</v>
      </c>
      <c r="AG68" s="34">
        <v>357</v>
      </c>
      <c r="AH68" s="40">
        <v>45808</v>
      </c>
      <c r="AI68" s="41">
        <v>6000000</v>
      </c>
      <c r="AK68" s="34" t="s">
        <v>354</v>
      </c>
      <c r="AL68" s="40">
        <v>45808</v>
      </c>
      <c r="AM68" s="41">
        <v>7000000</v>
      </c>
      <c r="AO68" s="34">
        <v>391</v>
      </c>
      <c r="AP68" s="40">
        <v>45865</v>
      </c>
      <c r="AQ68" s="41">
        <v>7000000</v>
      </c>
      <c r="AS68" s="34">
        <v>523</v>
      </c>
      <c r="AT68" s="40">
        <v>46035</v>
      </c>
      <c r="AU68" s="41">
        <v>15000000</v>
      </c>
      <c r="AW68" s="34">
        <v>549</v>
      </c>
      <c r="AX68" s="40">
        <v>46074</v>
      </c>
      <c r="AY68" s="41">
        <v>10000000</v>
      </c>
      <c r="BA68" s="34">
        <v>587</v>
      </c>
      <c r="BB68" s="40">
        <v>46128</v>
      </c>
      <c r="BC68" s="41">
        <v>10000000</v>
      </c>
      <c r="BE68" s="34"/>
      <c r="BF68" s="40"/>
      <c r="BG68" s="41"/>
      <c r="BI68" s="34"/>
      <c r="BJ68" s="40"/>
      <c r="BK68" s="41"/>
      <c r="BM68" s="38">
        <f t="shared" ref="BM68:BM131" si="1">SUM(K68,O68,S68,W68,AA68,AE68,AI68,AM68,AQ68,AU68,AY68,BC68,BG68,BK68)</f>
        <v>96000000</v>
      </c>
      <c r="BN68" s="19"/>
    </row>
    <row r="69" spans="1:66" ht="15.75" hidden="1" x14ac:dyDescent="0.25">
      <c r="A69" s="29">
        <v>67</v>
      </c>
      <c r="B69" s="68" t="s">
        <v>324</v>
      </c>
      <c r="C69" s="12" t="s">
        <v>181</v>
      </c>
      <c r="D69" s="18" t="s">
        <v>355</v>
      </c>
      <c r="E69" s="16">
        <v>33</v>
      </c>
      <c r="F69" s="33">
        <v>67</v>
      </c>
      <c r="G69" s="16"/>
      <c r="I69" s="34">
        <v>212</v>
      </c>
      <c r="J69" s="35">
        <v>45691</v>
      </c>
      <c r="K69" s="36">
        <v>8000000</v>
      </c>
      <c r="L69" s="19"/>
      <c r="M69" s="34">
        <v>213</v>
      </c>
      <c r="N69" s="40">
        <v>45691</v>
      </c>
      <c r="O69" s="41">
        <v>6000000</v>
      </c>
      <c r="P69" s="19"/>
      <c r="Q69" s="34">
        <v>214</v>
      </c>
      <c r="R69" s="40">
        <v>45691</v>
      </c>
      <c r="S69" s="41">
        <v>7000000</v>
      </c>
      <c r="T69" s="19"/>
      <c r="U69" s="34">
        <v>215</v>
      </c>
      <c r="V69" s="40">
        <v>45691</v>
      </c>
      <c r="W69" s="41">
        <v>7000000</v>
      </c>
      <c r="X69" s="19"/>
      <c r="Y69" s="34">
        <v>283</v>
      </c>
      <c r="Z69" s="40">
        <v>45721</v>
      </c>
      <c r="AA69" s="41">
        <v>7000000</v>
      </c>
      <c r="AB69" s="19"/>
      <c r="AC69" s="34">
        <v>321</v>
      </c>
      <c r="AD69" s="40">
        <v>45763</v>
      </c>
      <c r="AE69" s="41">
        <v>6000000</v>
      </c>
      <c r="AG69" s="34">
        <v>367</v>
      </c>
      <c r="AH69" s="40">
        <v>45822</v>
      </c>
      <c r="AI69" s="41">
        <v>6000000</v>
      </c>
      <c r="AK69" s="34">
        <v>405</v>
      </c>
      <c r="AL69" s="40">
        <v>45893</v>
      </c>
      <c r="AM69" s="41">
        <v>6000000</v>
      </c>
      <c r="AO69" s="34" t="s">
        <v>356</v>
      </c>
      <c r="AP69" s="40">
        <v>45893</v>
      </c>
      <c r="AQ69" s="41">
        <v>6000000</v>
      </c>
      <c r="AS69" s="34">
        <v>525</v>
      </c>
      <c r="AT69" s="40">
        <v>46040</v>
      </c>
      <c r="AU69" s="41">
        <v>6000000</v>
      </c>
      <c r="AW69" s="34">
        <v>602</v>
      </c>
      <c r="AX69" s="40">
        <v>46158</v>
      </c>
      <c r="AY69" s="41">
        <v>10000000</v>
      </c>
      <c r="BA69" s="34"/>
      <c r="BB69" s="40"/>
      <c r="BC69" s="41"/>
      <c r="BE69" s="34"/>
      <c r="BF69" s="40"/>
      <c r="BG69" s="41"/>
      <c r="BI69" s="34"/>
      <c r="BJ69" s="40"/>
      <c r="BK69" s="41"/>
      <c r="BM69" s="38">
        <f t="shared" si="1"/>
        <v>75000000</v>
      </c>
      <c r="BN69" s="19"/>
    </row>
    <row r="70" spans="1:66" ht="15.75" hidden="1" x14ac:dyDescent="0.25">
      <c r="A70" s="29">
        <v>68</v>
      </c>
      <c r="B70" s="68" t="s">
        <v>324</v>
      </c>
      <c r="C70" s="12" t="s">
        <v>71</v>
      </c>
      <c r="D70" s="5" t="s">
        <v>357</v>
      </c>
      <c r="E70" s="50">
        <v>35</v>
      </c>
      <c r="F70" s="51">
        <v>68</v>
      </c>
      <c r="G70" s="50"/>
      <c r="I70" s="52"/>
      <c r="J70" s="53"/>
      <c r="K70" s="36"/>
      <c r="L70" s="58"/>
      <c r="M70" s="52">
        <v>56</v>
      </c>
      <c r="N70" s="59">
        <v>45603</v>
      </c>
      <c r="O70" s="60">
        <v>6000000</v>
      </c>
      <c r="P70" s="58"/>
      <c r="Q70" s="52">
        <v>57</v>
      </c>
      <c r="R70" s="59">
        <v>45603</v>
      </c>
      <c r="S70" s="60">
        <v>7000000</v>
      </c>
      <c r="T70" s="19"/>
      <c r="U70" s="34">
        <v>191</v>
      </c>
      <c r="V70" s="40">
        <v>45675</v>
      </c>
      <c r="W70" s="41">
        <v>7000000</v>
      </c>
      <c r="X70" s="19"/>
      <c r="Y70" s="34">
        <v>235</v>
      </c>
      <c r="Z70" s="40">
        <v>45701</v>
      </c>
      <c r="AA70" s="41">
        <v>7000000</v>
      </c>
      <c r="AB70" s="19"/>
      <c r="AC70" s="34">
        <v>337</v>
      </c>
      <c r="AD70" s="40">
        <v>45784</v>
      </c>
      <c r="AE70" s="41">
        <v>6000000</v>
      </c>
      <c r="AG70" s="34" t="s">
        <v>931</v>
      </c>
      <c r="AH70" s="40">
        <v>46028</v>
      </c>
      <c r="AI70" s="41">
        <v>6000000</v>
      </c>
      <c r="AK70" s="34"/>
      <c r="AL70" s="40"/>
      <c r="AM70" s="41"/>
      <c r="AO70" s="34"/>
      <c r="AP70" s="40"/>
      <c r="AQ70" s="41"/>
      <c r="AS70" s="34"/>
      <c r="AT70" s="40"/>
      <c r="AU70" s="41"/>
      <c r="AW70" s="34"/>
      <c r="AX70" s="40"/>
      <c r="AY70" s="41"/>
      <c r="BA70" s="34"/>
      <c r="BB70" s="40"/>
      <c r="BC70" s="41"/>
      <c r="BE70" s="34"/>
      <c r="BF70" s="40"/>
      <c r="BG70" s="41"/>
      <c r="BI70" s="34"/>
      <c r="BJ70" s="40"/>
      <c r="BK70" s="41"/>
      <c r="BM70" s="38">
        <f t="shared" si="1"/>
        <v>39000000</v>
      </c>
      <c r="BN70" s="19"/>
    </row>
    <row r="71" spans="1:66" ht="15.75" hidden="1" x14ac:dyDescent="0.25">
      <c r="A71" s="29">
        <v>69</v>
      </c>
      <c r="B71" s="68" t="s">
        <v>324</v>
      </c>
      <c r="C71" s="13" t="s">
        <v>358</v>
      </c>
      <c r="D71" s="18" t="s">
        <v>359</v>
      </c>
      <c r="E71" s="16">
        <v>37</v>
      </c>
      <c r="F71" s="33">
        <v>69</v>
      </c>
      <c r="G71" s="16"/>
      <c r="I71" s="34"/>
      <c r="J71" s="35"/>
      <c r="K71" s="36"/>
      <c r="L71" s="19"/>
      <c r="M71" s="34">
        <v>148</v>
      </c>
      <c r="N71" s="40">
        <v>45650</v>
      </c>
      <c r="O71" s="41">
        <v>6000000</v>
      </c>
      <c r="P71" s="19"/>
      <c r="Q71" s="34" t="s">
        <v>360</v>
      </c>
      <c r="R71" s="40">
        <v>45650</v>
      </c>
      <c r="S71" s="41">
        <v>7000000</v>
      </c>
      <c r="T71" s="19"/>
      <c r="U71" s="34">
        <v>239</v>
      </c>
      <c r="V71" s="40">
        <v>45701</v>
      </c>
      <c r="W71" s="41">
        <v>7000000</v>
      </c>
      <c r="X71" s="19"/>
      <c r="Y71" s="34">
        <v>347</v>
      </c>
      <c r="Z71" s="40">
        <v>45792</v>
      </c>
      <c r="AA71" s="41">
        <v>7000000</v>
      </c>
      <c r="AB71" s="19"/>
      <c r="AC71" s="34" t="s">
        <v>361</v>
      </c>
      <c r="AD71" s="40">
        <v>45946</v>
      </c>
      <c r="AE71" s="41">
        <v>6000000</v>
      </c>
      <c r="AG71" s="34">
        <v>533</v>
      </c>
      <c r="AH71" s="40">
        <v>46054</v>
      </c>
      <c r="AI71" s="41">
        <v>4000000</v>
      </c>
      <c r="AK71" s="34"/>
      <c r="AL71" s="40"/>
      <c r="AM71" s="41"/>
      <c r="AO71" s="34"/>
      <c r="AP71" s="40"/>
      <c r="AQ71" s="41"/>
      <c r="AS71" s="34"/>
      <c r="AT71" s="40"/>
      <c r="AU71" s="41"/>
      <c r="AW71" s="34"/>
      <c r="AX71" s="40"/>
      <c r="AY71" s="41"/>
      <c r="BA71" s="34"/>
      <c r="BB71" s="40"/>
      <c r="BC71" s="41"/>
      <c r="BE71" s="34"/>
      <c r="BF71" s="40"/>
      <c r="BG71" s="41"/>
      <c r="BI71" s="34"/>
      <c r="BJ71" s="40"/>
      <c r="BK71" s="41"/>
      <c r="BM71" s="38">
        <f t="shared" si="1"/>
        <v>37000000</v>
      </c>
      <c r="BN71" s="19"/>
    </row>
    <row r="72" spans="1:66" ht="15.75" hidden="1" x14ac:dyDescent="0.25">
      <c r="A72" s="29">
        <v>70</v>
      </c>
      <c r="B72" s="68" t="s">
        <v>324</v>
      </c>
      <c r="C72" s="12" t="s">
        <v>37</v>
      </c>
      <c r="D72" s="5" t="s">
        <v>362</v>
      </c>
      <c r="E72" s="50">
        <v>26</v>
      </c>
      <c r="F72" s="51">
        <v>70</v>
      </c>
      <c r="G72" s="50"/>
      <c r="I72" s="52"/>
      <c r="J72" s="53"/>
      <c r="K72" s="54"/>
      <c r="L72" s="58"/>
      <c r="M72" s="52">
        <v>75</v>
      </c>
      <c r="N72" s="59">
        <v>45612</v>
      </c>
      <c r="O72" s="60">
        <v>6000000</v>
      </c>
      <c r="P72" s="19"/>
      <c r="Q72" s="34">
        <v>124</v>
      </c>
      <c r="R72" s="40">
        <v>45638</v>
      </c>
      <c r="S72" s="41">
        <v>7000000</v>
      </c>
      <c r="T72" s="19"/>
      <c r="U72" s="34" t="s">
        <v>363</v>
      </c>
      <c r="V72" s="40">
        <v>45659</v>
      </c>
      <c r="W72" s="41">
        <v>7000000</v>
      </c>
      <c r="X72" s="19"/>
      <c r="Y72" s="34" t="s">
        <v>364</v>
      </c>
      <c r="Z72" s="40">
        <v>45714</v>
      </c>
      <c r="AA72" s="41">
        <v>7000000</v>
      </c>
      <c r="AB72" s="19"/>
      <c r="AC72" s="34" t="s">
        <v>365</v>
      </c>
      <c r="AD72" s="40">
        <v>45819</v>
      </c>
      <c r="AE72" s="41">
        <v>6000000</v>
      </c>
      <c r="AG72" s="34" t="s">
        <v>1074</v>
      </c>
      <c r="AH72" s="40">
        <v>46120</v>
      </c>
      <c r="AI72" s="41">
        <v>6000000</v>
      </c>
      <c r="AK72" s="34">
        <v>612</v>
      </c>
      <c r="AL72" s="40">
        <v>46163</v>
      </c>
      <c r="AM72" s="41">
        <v>3000000</v>
      </c>
      <c r="AO72" s="34"/>
      <c r="AP72" s="40"/>
      <c r="AQ72" s="41"/>
      <c r="AS72" s="34"/>
      <c r="AT72" s="40"/>
      <c r="AU72" s="41"/>
      <c r="AW72" s="34"/>
      <c r="AX72" s="40"/>
      <c r="AY72" s="41"/>
      <c r="BA72" s="34"/>
      <c r="BB72" s="40"/>
      <c r="BC72" s="41"/>
      <c r="BE72" s="34"/>
      <c r="BF72" s="40"/>
      <c r="BG72" s="41"/>
      <c r="BI72" s="34"/>
      <c r="BJ72" s="40"/>
      <c r="BK72" s="41"/>
      <c r="BM72" s="38">
        <f t="shared" si="1"/>
        <v>42000000</v>
      </c>
      <c r="BN72" s="19"/>
    </row>
    <row r="73" spans="1:66" ht="15.75" hidden="1" x14ac:dyDescent="0.25">
      <c r="A73" s="29">
        <v>71</v>
      </c>
      <c r="B73" s="68" t="s">
        <v>324</v>
      </c>
      <c r="C73" s="12" t="s">
        <v>366</v>
      </c>
      <c r="D73" s="5" t="s">
        <v>367</v>
      </c>
      <c r="E73" s="50">
        <v>2</v>
      </c>
      <c r="F73" s="51">
        <v>71</v>
      </c>
      <c r="G73" s="50"/>
      <c r="I73" s="52"/>
      <c r="J73" s="53"/>
      <c r="K73" s="54"/>
      <c r="L73" s="58"/>
      <c r="M73" s="52">
        <v>53</v>
      </c>
      <c r="N73" s="59">
        <v>45602</v>
      </c>
      <c r="O73" s="60">
        <v>6000000</v>
      </c>
      <c r="P73" s="58"/>
      <c r="Q73" s="52">
        <v>68</v>
      </c>
      <c r="R73" s="59">
        <v>45609</v>
      </c>
      <c r="S73" s="60">
        <v>7000000</v>
      </c>
      <c r="T73" s="19"/>
      <c r="U73" s="34">
        <v>244</v>
      </c>
      <c r="V73" s="40">
        <v>45705</v>
      </c>
      <c r="W73" s="41">
        <v>7000000</v>
      </c>
      <c r="X73" s="19"/>
      <c r="Y73" s="34">
        <v>353</v>
      </c>
      <c r="Z73" s="40">
        <v>45805</v>
      </c>
      <c r="AA73" s="41">
        <v>7000000</v>
      </c>
      <c r="AB73" s="19"/>
      <c r="AC73" s="34" t="s">
        <v>368</v>
      </c>
      <c r="AD73" s="40">
        <v>45872</v>
      </c>
      <c r="AE73" s="41">
        <v>6000000</v>
      </c>
      <c r="AG73" s="34">
        <v>600</v>
      </c>
      <c r="AH73" s="40">
        <v>46158</v>
      </c>
      <c r="AI73" s="41">
        <v>6000000</v>
      </c>
      <c r="AK73" s="34"/>
      <c r="AL73" s="40"/>
      <c r="AM73" s="41"/>
      <c r="AO73" s="34"/>
      <c r="AP73" s="40"/>
      <c r="AQ73" s="41"/>
      <c r="AS73" s="34"/>
      <c r="AT73" s="40"/>
      <c r="AU73" s="41"/>
      <c r="AW73" s="34"/>
      <c r="AX73" s="40"/>
      <c r="AY73" s="41"/>
      <c r="BA73" s="34"/>
      <c r="BB73" s="40"/>
      <c r="BC73" s="41"/>
      <c r="BE73" s="34"/>
      <c r="BF73" s="40"/>
      <c r="BG73" s="41"/>
      <c r="BI73" s="34"/>
      <c r="BJ73" s="40"/>
      <c r="BK73" s="41"/>
      <c r="BM73" s="38">
        <f t="shared" si="1"/>
        <v>39000000</v>
      </c>
      <c r="BN73" s="19"/>
    </row>
    <row r="74" spans="1:66" ht="15.75" hidden="1" x14ac:dyDescent="0.25">
      <c r="A74" s="29">
        <v>72</v>
      </c>
      <c r="B74" s="68" t="s">
        <v>324</v>
      </c>
      <c r="C74" s="12" t="s">
        <v>369</v>
      </c>
      <c r="D74" s="5" t="s">
        <v>370</v>
      </c>
      <c r="E74" s="50">
        <v>4</v>
      </c>
      <c r="F74" s="51">
        <v>72</v>
      </c>
      <c r="G74" s="50"/>
      <c r="I74" s="52"/>
      <c r="J74" s="53"/>
      <c r="K74" s="54"/>
      <c r="L74" s="58"/>
      <c r="M74" s="52">
        <v>73</v>
      </c>
      <c r="N74" s="59">
        <v>45610</v>
      </c>
      <c r="O74" s="60">
        <v>6000000</v>
      </c>
      <c r="P74" s="58"/>
      <c r="Q74" s="52">
        <v>74</v>
      </c>
      <c r="R74" s="59">
        <v>45610</v>
      </c>
      <c r="S74" s="60">
        <v>7000000</v>
      </c>
      <c r="T74" s="19"/>
      <c r="U74" s="34">
        <v>315</v>
      </c>
      <c r="V74" s="40">
        <v>45753</v>
      </c>
      <c r="W74" s="41">
        <v>7000000</v>
      </c>
      <c r="X74" s="19"/>
      <c r="Y74" s="34">
        <v>437</v>
      </c>
      <c r="Z74" s="40">
        <v>45946</v>
      </c>
      <c r="AA74" s="41">
        <v>7000000</v>
      </c>
      <c r="AB74" s="19"/>
      <c r="AC74" s="34">
        <v>437</v>
      </c>
      <c r="AD74" s="40">
        <v>45946</v>
      </c>
      <c r="AE74" s="41">
        <v>6000000</v>
      </c>
      <c r="AG74" s="34"/>
      <c r="AH74" s="40"/>
      <c r="AI74" s="41"/>
      <c r="AK74" s="34"/>
      <c r="AL74" s="40"/>
      <c r="AM74" s="41"/>
      <c r="AO74" s="34"/>
      <c r="AP74" s="40"/>
      <c r="AQ74" s="41"/>
      <c r="AS74" s="34"/>
      <c r="AT74" s="40"/>
      <c r="AU74" s="41"/>
      <c r="AW74" s="34"/>
      <c r="AX74" s="40"/>
      <c r="AY74" s="41"/>
      <c r="BA74" s="34"/>
      <c r="BB74" s="40"/>
      <c r="BC74" s="41"/>
      <c r="BE74" s="34"/>
      <c r="BF74" s="40"/>
      <c r="BG74" s="41"/>
      <c r="BI74" s="34"/>
      <c r="BJ74" s="40"/>
      <c r="BK74" s="41"/>
      <c r="BM74" s="38">
        <f t="shared" si="1"/>
        <v>33000000</v>
      </c>
      <c r="BN74" s="19"/>
    </row>
    <row r="75" spans="1:66" ht="15.75" hidden="1" x14ac:dyDescent="0.25">
      <c r="A75" s="29">
        <v>73</v>
      </c>
      <c r="B75" s="68" t="s">
        <v>324</v>
      </c>
      <c r="C75" s="12" t="s">
        <v>74</v>
      </c>
      <c r="D75" s="5" t="s">
        <v>371</v>
      </c>
      <c r="E75" s="50">
        <v>8</v>
      </c>
      <c r="F75" s="51">
        <v>73</v>
      </c>
      <c r="G75" s="50"/>
      <c r="I75" s="52"/>
      <c r="J75" s="53"/>
      <c r="K75" s="54"/>
      <c r="L75" s="58"/>
      <c r="M75" s="52">
        <v>10</v>
      </c>
      <c r="N75" s="59">
        <v>45591</v>
      </c>
      <c r="O75" s="60">
        <v>6000000</v>
      </c>
      <c r="P75" s="58"/>
      <c r="Q75" s="52">
        <v>111</v>
      </c>
      <c r="R75" s="59">
        <v>45629</v>
      </c>
      <c r="S75" s="60">
        <v>7000000</v>
      </c>
      <c r="T75" s="19"/>
      <c r="U75" s="34">
        <v>266</v>
      </c>
      <c r="V75" s="40">
        <v>45714</v>
      </c>
      <c r="W75" s="41">
        <v>7000000</v>
      </c>
      <c r="X75" s="19"/>
      <c r="Y75" s="34">
        <v>402</v>
      </c>
      <c r="Z75" s="40">
        <v>45886</v>
      </c>
      <c r="AA75" s="41">
        <v>7000000</v>
      </c>
      <c r="AB75" s="19"/>
      <c r="AC75" s="34">
        <v>517</v>
      </c>
      <c r="AD75" s="40">
        <v>46029</v>
      </c>
      <c r="AE75" s="41">
        <v>6000000</v>
      </c>
      <c r="AG75" s="34" t="s">
        <v>1860</v>
      </c>
      <c r="AH75" s="40">
        <v>46165</v>
      </c>
      <c r="AI75" s="41">
        <v>3900000</v>
      </c>
      <c r="AK75" s="34"/>
      <c r="AL75" s="40"/>
      <c r="AM75" s="41"/>
      <c r="AO75" s="34"/>
      <c r="AP75" s="40"/>
      <c r="AQ75" s="41"/>
      <c r="AS75" s="34"/>
      <c r="AT75" s="40"/>
      <c r="AU75" s="41"/>
      <c r="AW75" s="34"/>
      <c r="AX75" s="40"/>
      <c r="AY75" s="41"/>
      <c r="BA75" s="34"/>
      <c r="BB75" s="40"/>
      <c r="BC75" s="41"/>
      <c r="BE75" s="34"/>
      <c r="BF75" s="40"/>
      <c r="BG75" s="41"/>
      <c r="BI75" s="34"/>
      <c r="BJ75" s="40"/>
      <c r="BK75" s="41"/>
      <c r="BM75" s="38">
        <f t="shared" si="1"/>
        <v>36900000</v>
      </c>
      <c r="BN75" s="19"/>
    </row>
    <row r="76" spans="1:66" ht="15.75" hidden="1" x14ac:dyDescent="0.25">
      <c r="A76" s="29">
        <v>74</v>
      </c>
      <c r="B76" s="68" t="s">
        <v>324</v>
      </c>
      <c r="C76" s="13" t="s">
        <v>372</v>
      </c>
      <c r="D76" s="18" t="s">
        <v>373</v>
      </c>
      <c r="E76" s="16">
        <v>10</v>
      </c>
      <c r="F76" s="33">
        <v>74</v>
      </c>
      <c r="G76" s="16"/>
      <c r="I76" s="34"/>
      <c r="J76" s="35"/>
      <c r="K76" s="36"/>
      <c r="L76" s="19"/>
      <c r="M76" s="34">
        <v>6</v>
      </c>
      <c r="N76" s="40">
        <v>45587</v>
      </c>
      <c r="O76" s="41">
        <v>6000000</v>
      </c>
      <c r="P76" s="19"/>
      <c r="Q76" s="34">
        <v>7</v>
      </c>
      <c r="R76" s="40">
        <v>45587</v>
      </c>
      <c r="S76" s="41">
        <v>7000000</v>
      </c>
      <c r="T76" s="19"/>
      <c r="U76" s="34">
        <v>216</v>
      </c>
      <c r="V76" s="40">
        <v>45692</v>
      </c>
      <c r="W76" s="41">
        <v>7000000</v>
      </c>
      <c r="X76" s="19"/>
      <c r="Y76" s="34">
        <v>344</v>
      </c>
      <c r="Z76" s="40">
        <v>45791</v>
      </c>
      <c r="AA76" s="41">
        <v>7000000</v>
      </c>
      <c r="AB76" s="19"/>
      <c r="AC76" s="34">
        <v>409</v>
      </c>
      <c r="AD76" s="40">
        <v>45901</v>
      </c>
      <c r="AE76" s="41">
        <v>6000000</v>
      </c>
      <c r="AG76" s="34">
        <v>594</v>
      </c>
      <c r="AH76" s="40">
        <v>46148</v>
      </c>
      <c r="AI76" s="41">
        <v>6000000</v>
      </c>
      <c r="AK76" s="34"/>
      <c r="AL76" s="40"/>
      <c r="AM76" s="41"/>
      <c r="AO76" s="34"/>
      <c r="AP76" s="40"/>
      <c r="AQ76" s="41"/>
      <c r="AS76" s="34"/>
      <c r="AT76" s="40"/>
      <c r="AU76" s="41"/>
      <c r="AW76" s="34"/>
      <c r="AX76" s="40"/>
      <c r="AY76" s="41"/>
      <c r="BA76" s="34"/>
      <c r="BB76" s="40"/>
      <c r="BC76" s="41"/>
      <c r="BE76" s="34"/>
      <c r="BF76" s="40"/>
      <c r="BG76" s="41"/>
      <c r="BI76" s="34"/>
      <c r="BJ76" s="40"/>
      <c r="BK76" s="41"/>
      <c r="BM76" s="38">
        <f t="shared" si="1"/>
        <v>39000000</v>
      </c>
      <c r="BN76" s="19"/>
    </row>
    <row r="77" spans="1:66" ht="15.75" hidden="1" x14ac:dyDescent="0.25">
      <c r="A77" s="29">
        <v>75</v>
      </c>
      <c r="B77" s="68" t="s">
        <v>324</v>
      </c>
      <c r="C77" s="13" t="s">
        <v>374</v>
      </c>
      <c r="D77" s="18" t="s">
        <v>375</v>
      </c>
      <c r="E77" s="16">
        <v>12</v>
      </c>
      <c r="F77" s="33">
        <v>75</v>
      </c>
      <c r="G77" s="16"/>
      <c r="I77" s="34"/>
      <c r="J77" s="35"/>
      <c r="K77" s="36"/>
      <c r="L77" s="19"/>
      <c r="M77" s="34">
        <v>8</v>
      </c>
      <c r="N77" s="40">
        <v>45587</v>
      </c>
      <c r="O77" s="41">
        <v>6000000</v>
      </c>
      <c r="P77" s="19"/>
      <c r="Q77" s="34">
        <v>9</v>
      </c>
      <c r="R77" s="40">
        <v>45587</v>
      </c>
      <c r="S77" s="41">
        <v>7000000</v>
      </c>
      <c r="T77" s="19"/>
      <c r="U77" s="34">
        <v>227</v>
      </c>
      <c r="V77" s="40">
        <v>45697</v>
      </c>
      <c r="W77" s="41">
        <v>7000000</v>
      </c>
      <c r="X77" s="19"/>
      <c r="Y77" s="34">
        <v>330</v>
      </c>
      <c r="Z77" s="40">
        <v>45770</v>
      </c>
      <c r="AA77" s="41">
        <v>7000000</v>
      </c>
      <c r="AB77" s="19"/>
      <c r="AC77" s="34">
        <v>417</v>
      </c>
      <c r="AD77" s="40">
        <v>45909</v>
      </c>
      <c r="AE77" s="41">
        <v>6000000</v>
      </c>
      <c r="AG77" s="34" t="s">
        <v>1514</v>
      </c>
      <c r="AH77" s="40">
        <v>46148</v>
      </c>
      <c r="AI77" s="41">
        <v>6000000</v>
      </c>
      <c r="AK77" s="34"/>
      <c r="AL77" s="40"/>
      <c r="AM77" s="41"/>
      <c r="AO77" s="34"/>
      <c r="AP77" s="40"/>
      <c r="AQ77" s="41"/>
      <c r="AS77" s="34"/>
      <c r="AT77" s="40"/>
      <c r="AU77" s="41"/>
      <c r="AW77" s="34"/>
      <c r="AX77" s="40"/>
      <c r="AY77" s="41"/>
      <c r="BA77" s="34"/>
      <c r="BB77" s="40"/>
      <c r="BC77" s="41"/>
      <c r="BE77" s="34"/>
      <c r="BF77" s="40"/>
      <c r="BG77" s="41"/>
      <c r="BI77" s="34"/>
      <c r="BJ77" s="40"/>
      <c r="BK77" s="41"/>
      <c r="BM77" s="38">
        <f t="shared" si="1"/>
        <v>39000000</v>
      </c>
      <c r="BN77" s="19"/>
    </row>
    <row r="78" spans="1:66" ht="15.75" hidden="1" x14ac:dyDescent="0.25">
      <c r="A78" s="29">
        <v>76</v>
      </c>
      <c r="B78" s="68" t="s">
        <v>324</v>
      </c>
      <c r="C78" s="12" t="s">
        <v>376</v>
      </c>
      <c r="D78" s="5" t="s">
        <v>377</v>
      </c>
      <c r="E78" s="50">
        <v>14</v>
      </c>
      <c r="F78" s="51">
        <v>76</v>
      </c>
      <c r="G78" s="50"/>
      <c r="I78" s="52"/>
      <c r="J78" s="53"/>
      <c r="K78" s="54"/>
      <c r="L78" s="58"/>
      <c r="M78" s="52">
        <v>85</v>
      </c>
      <c r="N78" s="59">
        <v>45595</v>
      </c>
      <c r="O78" s="60">
        <v>6000000</v>
      </c>
      <c r="P78" s="58"/>
      <c r="Q78" s="52">
        <v>32</v>
      </c>
      <c r="R78" s="59">
        <v>45619</v>
      </c>
      <c r="S78" s="60">
        <v>7000000</v>
      </c>
      <c r="T78" s="19"/>
      <c r="U78" s="34">
        <v>254</v>
      </c>
      <c r="V78" s="40">
        <v>45710</v>
      </c>
      <c r="W78" s="41">
        <v>7000000</v>
      </c>
      <c r="X78" s="19"/>
      <c r="Y78" s="34">
        <v>399</v>
      </c>
      <c r="Z78" s="40">
        <v>45872</v>
      </c>
      <c r="AA78" s="41">
        <v>7000000</v>
      </c>
      <c r="AB78" s="19"/>
      <c r="AC78" s="34" t="s">
        <v>378</v>
      </c>
      <c r="AD78" s="40">
        <v>45983</v>
      </c>
      <c r="AE78" s="41">
        <v>6000000</v>
      </c>
      <c r="AG78" s="34">
        <v>599</v>
      </c>
      <c r="AH78" s="40">
        <v>46153</v>
      </c>
      <c r="AI78" s="41">
        <v>6000000</v>
      </c>
      <c r="AK78" s="34"/>
      <c r="AL78" s="40"/>
      <c r="AM78" s="41"/>
      <c r="AO78" s="34"/>
      <c r="AP78" s="40"/>
      <c r="AQ78" s="41"/>
      <c r="AS78" s="34"/>
      <c r="AT78" s="40"/>
      <c r="AU78" s="41"/>
      <c r="AW78" s="34"/>
      <c r="AX78" s="40"/>
      <c r="AY78" s="41"/>
      <c r="BA78" s="34"/>
      <c r="BB78" s="40"/>
      <c r="BC78" s="41"/>
      <c r="BE78" s="34"/>
      <c r="BF78" s="40"/>
      <c r="BG78" s="41"/>
      <c r="BI78" s="34"/>
      <c r="BJ78" s="40"/>
      <c r="BK78" s="41"/>
      <c r="BM78" s="38">
        <f t="shared" si="1"/>
        <v>39000000</v>
      </c>
      <c r="BN78" s="19"/>
    </row>
    <row r="79" spans="1:66" ht="15.75" hidden="1" x14ac:dyDescent="0.25">
      <c r="A79" s="29">
        <v>77</v>
      </c>
      <c r="B79" s="68" t="s">
        <v>324</v>
      </c>
      <c r="C79" s="12" t="s">
        <v>379</v>
      </c>
      <c r="D79" s="5" t="s">
        <v>380</v>
      </c>
      <c r="E79" s="50">
        <v>16</v>
      </c>
      <c r="F79" s="51">
        <v>77</v>
      </c>
      <c r="G79" s="50"/>
      <c r="I79" s="52"/>
      <c r="J79" s="53"/>
      <c r="K79" s="54"/>
      <c r="L79" s="58"/>
      <c r="M79" s="52">
        <v>103</v>
      </c>
      <c r="N79" s="59">
        <v>45626</v>
      </c>
      <c r="O79" s="60">
        <v>6000000</v>
      </c>
      <c r="P79" s="19"/>
      <c r="Q79" s="34">
        <v>164</v>
      </c>
      <c r="R79" s="40">
        <v>45658</v>
      </c>
      <c r="S79" s="41">
        <v>7000000</v>
      </c>
      <c r="T79" s="19"/>
      <c r="U79" s="34">
        <v>247</v>
      </c>
      <c r="V79" s="40">
        <v>45705</v>
      </c>
      <c r="W79" s="41">
        <v>7000000</v>
      </c>
      <c r="X79" s="19"/>
      <c r="Y79" s="34">
        <v>387</v>
      </c>
      <c r="Z79" s="40">
        <v>45852</v>
      </c>
      <c r="AA79" s="41">
        <v>7000000</v>
      </c>
      <c r="AB79" s="19"/>
      <c r="AC79" s="34">
        <v>434</v>
      </c>
      <c r="AD79" s="40">
        <v>45945</v>
      </c>
      <c r="AE79" s="41">
        <v>6000000</v>
      </c>
      <c r="AG79" s="34">
        <v>618</v>
      </c>
      <c r="AH79" s="40">
        <v>46182</v>
      </c>
      <c r="AI79" s="41">
        <v>6000000</v>
      </c>
      <c r="AK79" s="34"/>
      <c r="AL79" s="40"/>
      <c r="AM79" s="41"/>
      <c r="AO79" s="34"/>
      <c r="AP79" s="40"/>
      <c r="AQ79" s="41"/>
      <c r="AS79" s="34"/>
      <c r="AT79" s="40"/>
      <c r="AU79" s="41"/>
      <c r="AW79" s="34"/>
      <c r="AX79" s="40"/>
      <c r="AY79" s="41"/>
      <c r="BA79" s="34"/>
      <c r="BB79" s="40"/>
      <c r="BC79" s="41"/>
      <c r="BE79" s="34"/>
      <c r="BF79" s="40"/>
      <c r="BG79" s="41"/>
      <c r="BI79" s="34"/>
      <c r="BJ79" s="40"/>
      <c r="BK79" s="41"/>
      <c r="BM79" s="38">
        <f t="shared" si="1"/>
        <v>39000000</v>
      </c>
      <c r="BN79" s="19"/>
    </row>
    <row r="80" spans="1:66" ht="15.75" hidden="1" x14ac:dyDescent="0.25">
      <c r="A80" s="29">
        <v>78</v>
      </c>
      <c r="B80" s="68" t="s">
        <v>324</v>
      </c>
      <c r="C80" s="13" t="s">
        <v>381</v>
      </c>
      <c r="D80" s="18" t="s">
        <v>382</v>
      </c>
      <c r="E80" s="16">
        <v>18</v>
      </c>
      <c r="F80" s="33">
        <v>78</v>
      </c>
      <c r="G80" s="16"/>
      <c r="I80" s="34"/>
      <c r="J80" s="35"/>
      <c r="K80" s="36"/>
      <c r="L80" s="19"/>
      <c r="M80" s="34">
        <v>130</v>
      </c>
      <c r="N80" s="40">
        <v>45641</v>
      </c>
      <c r="O80" s="41">
        <v>6000000</v>
      </c>
      <c r="P80" s="19"/>
      <c r="Q80" s="34">
        <v>131</v>
      </c>
      <c r="R80" s="40">
        <v>45641</v>
      </c>
      <c r="S80" s="41">
        <v>7000000</v>
      </c>
      <c r="T80" s="19"/>
      <c r="U80" s="34">
        <v>241</v>
      </c>
      <c r="V80" s="40">
        <v>45703</v>
      </c>
      <c r="W80" s="41">
        <v>7000000</v>
      </c>
      <c r="X80" s="19"/>
      <c r="Y80" s="34">
        <v>393</v>
      </c>
      <c r="Z80" s="40">
        <v>45866</v>
      </c>
      <c r="AA80" s="41">
        <v>7000000</v>
      </c>
      <c r="AB80" s="19"/>
      <c r="AC80" s="34" t="s">
        <v>979</v>
      </c>
      <c r="AD80" s="40">
        <v>45953</v>
      </c>
      <c r="AE80" s="41">
        <v>6000000</v>
      </c>
      <c r="AG80" s="34"/>
      <c r="AH80" s="40"/>
      <c r="AI80" s="41"/>
      <c r="AK80" s="34"/>
      <c r="AL80" s="40"/>
      <c r="AM80" s="41"/>
      <c r="AO80" s="34"/>
      <c r="AP80" s="40"/>
      <c r="AQ80" s="41"/>
      <c r="AS80" s="34"/>
      <c r="AT80" s="40"/>
      <c r="AU80" s="41"/>
      <c r="AW80" s="34"/>
      <c r="AX80" s="40"/>
      <c r="AY80" s="41"/>
      <c r="BA80" s="34"/>
      <c r="BB80" s="40"/>
      <c r="BC80" s="41"/>
      <c r="BE80" s="34"/>
      <c r="BF80" s="40"/>
      <c r="BG80" s="41"/>
      <c r="BI80" s="34"/>
      <c r="BJ80" s="40"/>
      <c r="BK80" s="41"/>
      <c r="BM80" s="38">
        <f t="shared" si="1"/>
        <v>33000000</v>
      </c>
      <c r="BN80" s="19"/>
    </row>
    <row r="81" spans="1:66" ht="15.75" hidden="1" x14ac:dyDescent="0.25">
      <c r="A81" s="29">
        <v>79</v>
      </c>
      <c r="B81" s="68" t="s">
        <v>324</v>
      </c>
      <c r="C81" s="12" t="s">
        <v>346</v>
      </c>
      <c r="D81" s="18" t="s">
        <v>242</v>
      </c>
      <c r="E81" s="16">
        <v>20</v>
      </c>
      <c r="F81" s="33">
        <v>79</v>
      </c>
      <c r="G81" s="56" t="s">
        <v>347</v>
      </c>
      <c r="I81" s="34">
        <v>450</v>
      </c>
      <c r="J81" s="35">
        <v>45878</v>
      </c>
      <c r="K81" s="36">
        <v>100000000</v>
      </c>
      <c r="L81" s="19"/>
      <c r="M81" s="34"/>
      <c r="N81" s="40"/>
      <c r="O81" s="41"/>
      <c r="P81" s="19"/>
      <c r="Q81" s="34"/>
      <c r="R81" s="40"/>
      <c r="S81" s="41"/>
      <c r="T81" s="19"/>
      <c r="U81" s="34"/>
      <c r="V81" s="40"/>
      <c r="W81" s="41"/>
      <c r="X81" s="19"/>
      <c r="Y81" s="34"/>
      <c r="Z81" s="40"/>
      <c r="AA81" s="41"/>
      <c r="AB81" s="19"/>
      <c r="AC81" s="34"/>
      <c r="AD81" s="40"/>
      <c r="AE81" s="41"/>
      <c r="AG81" s="34"/>
      <c r="AH81" s="40"/>
      <c r="AI81" s="41"/>
      <c r="AK81" s="34"/>
      <c r="AL81" s="40"/>
      <c r="AM81" s="41"/>
      <c r="AO81" s="34"/>
      <c r="AP81" s="40"/>
      <c r="AQ81" s="41"/>
      <c r="AS81" s="34"/>
      <c r="AT81" s="40"/>
      <c r="AU81" s="41"/>
      <c r="AW81" s="34"/>
      <c r="AX81" s="40"/>
      <c r="AY81" s="41"/>
      <c r="BA81" s="34"/>
      <c r="BB81" s="40"/>
      <c r="BC81" s="41"/>
      <c r="BE81" s="34"/>
      <c r="BF81" s="40"/>
      <c r="BG81" s="41"/>
      <c r="BI81" s="34"/>
      <c r="BJ81" s="40"/>
      <c r="BK81" s="41"/>
      <c r="BM81" s="38">
        <f t="shared" si="1"/>
        <v>100000000</v>
      </c>
      <c r="BN81" s="19"/>
    </row>
    <row r="82" spans="1:66" ht="15.75" hidden="1" x14ac:dyDescent="0.25">
      <c r="A82" s="29">
        <v>80</v>
      </c>
      <c r="B82" s="68" t="s">
        <v>324</v>
      </c>
      <c r="C82" s="12" t="s">
        <v>383</v>
      </c>
      <c r="D82" s="5" t="s">
        <v>384</v>
      </c>
      <c r="E82" s="50">
        <v>22</v>
      </c>
      <c r="F82" s="51">
        <v>80</v>
      </c>
      <c r="G82" s="50"/>
      <c r="I82" s="52"/>
      <c r="J82" s="53"/>
      <c r="K82" s="54"/>
      <c r="L82" s="58"/>
      <c r="M82" s="52">
        <v>62</v>
      </c>
      <c r="N82" s="59">
        <v>45607</v>
      </c>
      <c r="O82" s="60">
        <v>6000000</v>
      </c>
      <c r="P82" s="58"/>
      <c r="Q82" s="52" t="s">
        <v>385</v>
      </c>
      <c r="R82" s="59">
        <v>45607</v>
      </c>
      <c r="S82" s="60">
        <v>7000000</v>
      </c>
      <c r="T82" s="19"/>
      <c r="U82" s="34">
        <v>276</v>
      </c>
      <c r="V82" s="40">
        <v>45720</v>
      </c>
      <c r="W82" s="41">
        <v>7000000</v>
      </c>
      <c r="X82" s="19"/>
      <c r="Y82" s="34">
        <v>301</v>
      </c>
      <c r="Z82" s="40">
        <v>45740</v>
      </c>
      <c r="AA82" s="41">
        <v>7000000</v>
      </c>
      <c r="AB82" s="19"/>
      <c r="AC82" s="34">
        <v>415</v>
      </c>
      <c r="AD82" s="40">
        <v>45908</v>
      </c>
      <c r="AE82" s="41">
        <v>6000000</v>
      </c>
      <c r="AG82" s="34">
        <v>617</v>
      </c>
      <c r="AH82" s="40">
        <v>46181</v>
      </c>
      <c r="AI82" s="41">
        <v>6000000</v>
      </c>
      <c r="AK82" s="34"/>
      <c r="AL82" s="40"/>
      <c r="AM82" s="41"/>
      <c r="AO82" s="34"/>
      <c r="AP82" s="40"/>
      <c r="AQ82" s="41"/>
      <c r="AS82" s="34"/>
      <c r="AT82" s="40"/>
      <c r="AU82" s="41"/>
      <c r="AW82" s="34"/>
      <c r="AX82" s="40"/>
      <c r="AY82" s="41"/>
      <c r="BA82" s="34"/>
      <c r="BB82" s="40"/>
      <c r="BC82" s="41"/>
      <c r="BE82" s="34"/>
      <c r="BF82" s="40"/>
      <c r="BG82" s="41"/>
      <c r="BI82" s="34"/>
      <c r="BJ82" s="40"/>
      <c r="BK82" s="41"/>
      <c r="BM82" s="38">
        <f t="shared" si="1"/>
        <v>39000000</v>
      </c>
      <c r="BN82" s="19"/>
    </row>
    <row r="83" spans="1:66" ht="15.75" hidden="1" x14ac:dyDescent="0.25">
      <c r="A83" s="29">
        <v>81</v>
      </c>
      <c r="B83" s="68" t="s">
        <v>324</v>
      </c>
      <c r="C83" s="12" t="s">
        <v>386</v>
      </c>
      <c r="D83" s="5" t="s">
        <v>387</v>
      </c>
      <c r="E83" s="50">
        <v>28</v>
      </c>
      <c r="F83" s="51">
        <v>81</v>
      </c>
      <c r="G83" s="50"/>
      <c r="I83" s="52"/>
      <c r="J83" s="53"/>
      <c r="K83" s="36"/>
      <c r="L83" s="58"/>
      <c r="M83" s="52">
        <v>35</v>
      </c>
      <c r="N83" s="59">
        <v>45598</v>
      </c>
      <c r="O83" s="60">
        <v>6000000</v>
      </c>
      <c r="P83" s="19"/>
      <c r="Q83" s="34">
        <v>171</v>
      </c>
      <c r="R83" s="40">
        <v>45661</v>
      </c>
      <c r="S83" s="41">
        <v>7000000</v>
      </c>
      <c r="T83" s="19"/>
      <c r="U83" s="34">
        <v>243</v>
      </c>
      <c r="V83" s="40">
        <v>45705</v>
      </c>
      <c r="W83" s="41">
        <v>7000000</v>
      </c>
      <c r="X83" s="19"/>
      <c r="Y83" s="34">
        <v>248</v>
      </c>
      <c r="Z83" s="40">
        <v>45706</v>
      </c>
      <c r="AA83" s="41">
        <v>7000000</v>
      </c>
      <c r="AB83" s="19"/>
      <c r="AC83" s="34">
        <v>588</v>
      </c>
      <c r="AD83" s="40">
        <v>46130</v>
      </c>
      <c r="AE83" s="41">
        <v>7000000</v>
      </c>
      <c r="AG83" s="34"/>
      <c r="AH83" s="40"/>
      <c r="AI83" s="41"/>
      <c r="AK83" s="34"/>
      <c r="AL83" s="40"/>
      <c r="AM83" s="41"/>
      <c r="AO83" s="34"/>
      <c r="AP83" s="40"/>
      <c r="AQ83" s="41"/>
      <c r="AS83" s="34"/>
      <c r="AT83" s="40"/>
      <c r="AU83" s="41"/>
      <c r="AW83" s="34"/>
      <c r="AX83" s="40"/>
      <c r="AY83" s="41"/>
      <c r="BA83" s="34"/>
      <c r="BB83" s="40"/>
      <c r="BC83" s="41"/>
      <c r="BE83" s="34"/>
      <c r="BF83" s="40"/>
      <c r="BG83" s="41"/>
      <c r="BI83" s="34"/>
      <c r="BJ83" s="40"/>
      <c r="BK83" s="41"/>
      <c r="BM83" s="38">
        <f t="shared" si="1"/>
        <v>34000000</v>
      </c>
      <c r="BN83" s="19"/>
    </row>
    <row r="84" spans="1:66" ht="15.75" hidden="1" x14ac:dyDescent="0.25">
      <c r="A84" s="29">
        <v>82</v>
      </c>
      <c r="B84" s="68" t="s">
        <v>324</v>
      </c>
      <c r="C84" s="12" t="s">
        <v>388</v>
      </c>
      <c r="D84" s="5" t="s">
        <v>389</v>
      </c>
      <c r="E84" s="50">
        <v>30</v>
      </c>
      <c r="F84" s="51">
        <v>82</v>
      </c>
      <c r="G84" s="50"/>
      <c r="I84" s="52"/>
      <c r="J84" s="53"/>
      <c r="K84" s="54"/>
      <c r="L84" s="58"/>
      <c r="M84" s="52">
        <v>64</v>
      </c>
      <c r="N84" s="59">
        <v>45607</v>
      </c>
      <c r="O84" s="60">
        <v>6000000</v>
      </c>
      <c r="P84" s="58"/>
      <c r="Q84" s="52" t="s">
        <v>390</v>
      </c>
      <c r="R84" s="59">
        <v>45607</v>
      </c>
      <c r="S84" s="60">
        <v>7000000</v>
      </c>
      <c r="T84" s="19"/>
      <c r="U84" s="34">
        <v>246</v>
      </c>
      <c r="V84" s="40">
        <v>45705</v>
      </c>
      <c r="W84" s="41">
        <v>7000000</v>
      </c>
      <c r="X84" s="19"/>
      <c r="Y84" s="34">
        <v>425</v>
      </c>
      <c r="Z84" s="40">
        <v>45931</v>
      </c>
      <c r="AA84" s="41">
        <v>7000000</v>
      </c>
      <c r="AB84" s="19"/>
      <c r="AC84" s="34">
        <v>454</v>
      </c>
      <c r="AD84" s="40">
        <v>45976</v>
      </c>
      <c r="AE84" s="41">
        <v>6000000</v>
      </c>
      <c r="AG84" s="34">
        <v>593</v>
      </c>
      <c r="AH84" s="40">
        <v>46144</v>
      </c>
      <c r="AI84" s="41">
        <v>6000000</v>
      </c>
      <c r="AK84" s="34"/>
      <c r="AL84" s="40"/>
      <c r="AM84" s="41"/>
      <c r="AO84" s="34"/>
      <c r="AP84" s="40"/>
      <c r="AQ84" s="41"/>
      <c r="AS84" s="34"/>
      <c r="AT84" s="40"/>
      <c r="AU84" s="41"/>
      <c r="AW84" s="34"/>
      <c r="AX84" s="40"/>
      <c r="AY84" s="41"/>
      <c r="BA84" s="34"/>
      <c r="BB84" s="40"/>
      <c r="BC84" s="41"/>
      <c r="BE84" s="34"/>
      <c r="BF84" s="40"/>
      <c r="BG84" s="41"/>
      <c r="BI84" s="34"/>
      <c r="BJ84" s="40"/>
      <c r="BK84" s="41"/>
      <c r="BM84" s="38">
        <f t="shared" si="1"/>
        <v>39000000</v>
      </c>
      <c r="BN84" s="19"/>
    </row>
    <row r="85" spans="1:66" ht="15.75" hidden="1" x14ac:dyDescent="0.25">
      <c r="A85" s="29">
        <v>83</v>
      </c>
      <c r="B85" s="68" t="s">
        <v>324</v>
      </c>
      <c r="C85" s="13" t="s">
        <v>391</v>
      </c>
      <c r="D85" s="5" t="s">
        <v>392</v>
      </c>
      <c r="E85" s="16">
        <v>32</v>
      </c>
      <c r="F85" s="33">
        <v>83</v>
      </c>
      <c r="G85" s="16"/>
      <c r="I85" s="34"/>
      <c r="J85" s="35"/>
      <c r="K85" s="36"/>
      <c r="L85" s="19"/>
      <c r="M85" s="34">
        <v>23</v>
      </c>
      <c r="N85" s="40">
        <v>45593</v>
      </c>
      <c r="O85" s="41">
        <v>6000000</v>
      </c>
      <c r="P85" s="19"/>
      <c r="Q85" s="34">
        <v>24</v>
      </c>
      <c r="R85" s="40">
        <v>45593</v>
      </c>
      <c r="S85" s="41">
        <v>7000000</v>
      </c>
      <c r="T85" s="19"/>
      <c r="U85" s="34">
        <v>211</v>
      </c>
      <c r="V85" s="40">
        <v>45691</v>
      </c>
      <c r="W85" s="41">
        <v>7000000</v>
      </c>
      <c r="X85" s="19"/>
      <c r="Y85" s="34">
        <v>371</v>
      </c>
      <c r="Z85" s="40">
        <v>45830</v>
      </c>
      <c r="AA85" s="41">
        <v>7000000</v>
      </c>
      <c r="AB85" s="19"/>
      <c r="AC85" s="34">
        <v>452</v>
      </c>
      <c r="AD85" s="40">
        <v>45970</v>
      </c>
      <c r="AE85" s="41">
        <v>6000000</v>
      </c>
      <c r="AG85" s="34">
        <v>590</v>
      </c>
      <c r="AH85" s="40">
        <v>46132</v>
      </c>
      <c r="AI85" s="41">
        <v>6000000</v>
      </c>
      <c r="AK85" s="34">
        <v>637</v>
      </c>
      <c r="AL85" s="40">
        <v>46243</v>
      </c>
      <c r="AM85" s="41">
        <v>6000000</v>
      </c>
      <c r="AO85" s="34"/>
      <c r="AP85" s="40"/>
      <c r="AQ85" s="41"/>
      <c r="AS85" s="34"/>
      <c r="AT85" s="40"/>
      <c r="AU85" s="41"/>
      <c r="AW85" s="34"/>
      <c r="AX85" s="40"/>
      <c r="AY85" s="41"/>
      <c r="BA85" s="34"/>
      <c r="BB85" s="40"/>
      <c r="BC85" s="41"/>
      <c r="BE85" s="34"/>
      <c r="BF85" s="40"/>
      <c r="BG85" s="41"/>
      <c r="BI85" s="34"/>
      <c r="BJ85" s="40"/>
      <c r="BK85" s="41"/>
      <c r="BM85" s="38">
        <f t="shared" si="1"/>
        <v>45000000</v>
      </c>
      <c r="BN85" s="19"/>
    </row>
    <row r="86" spans="1:66" ht="15.75" hidden="1" x14ac:dyDescent="0.25">
      <c r="A86" s="29">
        <v>84</v>
      </c>
      <c r="B86" s="68" t="s">
        <v>324</v>
      </c>
      <c r="C86" s="12" t="s">
        <v>393</v>
      </c>
      <c r="D86" s="18" t="s">
        <v>242</v>
      </c>
      <c r="E86" s="16">
        <v>38</v>
      </c>
      <c r="F86" s="33">
        <v>84</v>
      </c>
      <c r="G86" s="16"/>
      <c r="I86" s="34">
        <v>355</v>
      </c>
      <c r="J86" s="35">
        <v>45806</v>
      </c>
      <c r="K86" s="36">
        <v>8000000</v>
      </c>
      <c r="L86" s="19"/>
      <c r="M86" s="34">
        <v>355</v>
      </c>
      <c r="N86" s="40">
        <v>45806</v>
      </c>
      <c r="O86" s="41">
        <v>6000000</v>
      </c>
      <c r="P86" s="19"/>
      <c r="Q86" s="34" t="s">
        <v>394</v>
      </c>
      <c r="R86" s="40">
        <v>45806</v>
      </c>
      <c r="S86" s="41">
        <v>7000000</v>
      </c>
      <c r="T86" s="19"/>
      <c r="U86" s="34">
        <v>403</v>
      </c>
      <c r="V86" s="40">
        <v>45886</v>
      </c>
      <c r="W86" s="41">
        <v>7000000</v>
      </c>
      <c r="X86" s="19"/>
      <c r="Y86" s="34">
        <v>403</v>
      </c>
      <c r="Z86" s="40">
        <v>45886</v>
      </c>
      <c r="AA86" s="41">
        <v>7000000</v>
      </c>
      <c r="AB86" s="19"/>
      <c r="AC86" s="34" t="s">
        <v>941</v>
      </c>
      <c r="AD86" s="40">
        <v>46005</v>
      </c>
      <c r="AE86" s="41">
        <v>6000000</v>
      </c>
      <c r="AG86" s="34">
        <v>629</v>
      </c>
      <c r="AH86" s="40">
        <v>46214</v>
      </c>
      <c r="AI86" s="41">
        <v>10000000</v>
      </c>
      <c r="AK86" s="34">
        <v>632</v>
      </c>
      <c r="AL86" s="40">
        <v>46217</v>
      </c>
      <c r="AM86" s="41">
        <v>9000000</v>
      </c>
      <c r="AO86" s="34"/>
      <c r="AP86" s="40"/>
      <c r="AQ86" s="41"/>
      <c r="AS86" s="34"/>
      <c r="AT86" s="40"/>
      <c r="AU86" s="41"/>
      <c r="AW86" s="34"/>
      <c r="AX86" s="40"/>
      <c r="AY86" s="41"/>
      <c r="BA86" s="34"/>
      <c r="BB86" s="40"/>
      <c r="BC86" s="41"/>
      <c r="BE86" s="34"/>
      <c r="BF86" s="40"/>
      <c r="BG86" s="41"/>
      <c r="BI86" s="34"/>
      <c r="BJ86" s="40"/>
      <c r="BK86" s="41"/>
      <c r="BM86" s="38">
        <f t="shared" si="1"/>
        <v>60000000</v>
      </c>
      <c r="BN86" s="19"/>
    </row>
    <row r="87" spans="1:66" ht="15.75" hidden="1" x14ac:dyDescent="0.25">
      <c r="A87" s="29">
        <v>85</v>
      </c>
      <c r="B87" s="68" t="s">
        <v>324</v>
      </c>
      <c r="C87" s="13" t="s">
        <v>395</v>
      </c>
      <c r="D87" s="18" t="s">
        <v>242</v>
      </c>
      <c r="E87" s="16">
        <v>36</v>
      </c>
      <c r="F87" s="33">
        <v>85</v>
      </c>
      <c r="G87" s="16"/>
      <c r="I87" s="34"/>
      <c r="J87" s="35"/>
      <c r="K87" s="36"/>
      <c r="L87" s="19"/>
      <c r="M87" s="34">
        <v>150</v>
      </c>
      <c r="N87" s="40">
        <v>45650</v>
      </c>
      <c r="O87" s="41">
        <v>6000000</v>
      </c>
      <c r="P87" s="19"/>
      <c r="Q87" s="34">
        <v>201</v>
      </c>
      <c r="R87" s="40">
        <v>45686</v>
      </c>
      <c r="S87" s="41">
        <v>7000000</v>
      </c>
      <c r="T87" s="19"/>
      <c r="U87" s="34">
        <v>228</v>
      </c>
      <c r="V87" s="40">
        <v>45697</v>
      </c>
      <c r="W87" s="41">
        <v>7000000</v>
      </c>
      <c r="X87" s="19"/>
      <c r="Y87" s="34">
        <v>327</v>
      </c>
      <c r="Z87" s="40">
        <v>45768</v>
      </c>
      <c r="AA87" s="41">
        <v>7000000</v>
      </c>
      <c r="AB87" s="19"/>
      <c r="AC87" s="34">
        <v>444</v>
      </c>
      <c r="AD87" s="40">
        <v>45952</v>
      </c>
      <c r="AE87" s="41">
        <v>6000000</v>
      </c>
      <c r="AG87" s="34">
        <v>486</v>
      </c>
      <c r="AH87" s="40">
        <v>45994</v>
      </c>
      <c r="AI87" s="41">
        <v>20000000</v>
      </c>
      <c r="AK87" s="34">
        <v>536</v>
      </c>
      <c r="AL87" s="40">
        <v>46055</v>
      </c>
      <c r="AM87" s="41">
        <v>54000000</v>
      </c>
      <c r="AO87" s="34"/>
      <c r="AP87" s="40"/>
      <c r="AQ87" s="41"/>
      <c r="AS87" s="34"/>
      <c r="AT87" s="40"/>
      <c r="AU87" s="41"/>
      <c r="AW87" s="34"/>
      <c r="AX87" s="40"/>
      <c r="AY87" s="41"/>
      <c r="BA87" s="34"/>
      <c r="BB87" s="40"/>
      <c r="BC87" s="41"/>
      <c r="BE87" s="34"/>
      <c r="BF87" s="40"/>
      <c r="BG87" s="41"/>
      <c r="BI87" s="34"/>
      <c r="BJ87" s="40"/>
      <c r="BK87" s="41"/>
      <c r="BM87" s="38">
        <f t="shared" si="1"/>
        <v>107000000</v>
      </c>
      <c r="BN87" s="19"/>
    </row>
    <row r="88" spans="1:66" ht="15.75" hidden="1" x14ac:dyDescent="0.25">
      <c r="A88" s="29">
        <v>86</v>
      </c>
      <c r="B88" s="68" t="s">
        <v>324</v>
      </c>
      <c r="C88" s="13" t="s">
        <v>396</v>
      </c>
      <c r="D88" s="18" t="s">
        <v>397</v>
      </c>
      <c r="E88" s="16">
        <v>34</v>
      </c>
      <c r="F88" s="33">
        <v>86</v>
      </c>
      <c r="G88" s="16"/>
      <c r="I88" s="34"/>
      <c r="J88" s="35"/>
      <c r="K88" s="36"/>
      <c r="L88" s="19"/>
      <c r="M88" s="34"/>
      <c r="N88" s="40"/>
      <c r="O88" s="41"/>
      <c r="P88" s="19"/>
      <c r="Q88" s="34"/>
      <c r="R88" s="40"/>
      <c r="S88" s="41"/>
      <c r="T88" s="19"/>
      <c r="U88" s="34"/>
      <c r="V88" s="40"/>
      <c r="W88" s="41"/>
      <c r="X88" s="19"/>
      <c r="Y88" s="34"/>
      <c r="Z88" s="40"/>
      <c r="AA88" s="41"/>
      <c r="AB88" s="19"/>
      <c r="AC88" s="34">
        <v>565</v>
      </c>
      <c r="AD88" s="40">
        <v>46086</v>
      </c>
      <c r="AE88" s="41">
        <v>41000000</v>
      </c>
      <c r="AG88" s="34"/>
      <c r="AH88" s="40"/>
      <c r="AI88" s="41"/>
      <c r="AK88" s="34"/>
      <c r="AL88" s="40"/>
      <c r="AM88" s="41"/>
      <c r="AO88" s="34"/>
      <c r="AP88" s="40"/>
      <c r="AQ88" s="41"/>
      <c r="AS88" s="34"/>
      <c r="AT88" s="40"/>
      <c r="AU88" s="41"/>
      <c r="AW88" s="34"/>
      <c r="AX88" s="40"/>
      <c r="AY88" s="41"/>
      <c r="BA88" s="34"/>
      <c r="BB88" s="40"/>
      <c r="BC88" s="41"/>
      <c r="BE88" s="34"/>
      <c r="BF88" s="40"/>
      <c r="BG88" s="41"/>
      <c r="BI88" s="34"/>
      <c r="BJ88" s="40"/>
      <c r="BK88" s="41"/>
      <c r="BM88" s="38">
        <f t="shared" si="1"/>
        <v>41000000</v>
      </c>
      <c r="BN88" s="19"/>
    </row>
    <row r="89" spans="1:66" ht="15.75" hidden="1" x14ac:dyDescent="0.25">
      <c r="A89" s="29">
        <v>87</v>
      </c>
      <c r="B89" s="68" t="s">
        <v>324</v>
      </c>
      <c r="C89" s="13" t="s">
        <v>396</v>
      </c>
      <c r="D89" s="18" t="s">
        <v>398</v>
      </c>
      <c r="E89" s="16">
        <v>24</v>
      </c>
      <c r="F89" s="33">
        <v>87</v>
      </c>
      <c r="G89" s="16"/>
      <c r="I89" s="34"/>
      <c r="J89" s="35"/>
      <c r="K89" s="36"/>
      <c r="L89" s="19"/>
      <c r="M89" s="34"/>
      <c r="N89" s="40"/>
      <c r="O89" s="41"/>
      <c r="P89" s="19"/>
      <c r="Q89" s="34"/>
      <c r="R89" s="40"/>
      <c r="S89" s="41"/>
      <c r="T89" s="19"/>
      <c r="U89" s="34"/>
      <c r="V89" s="40"/>
      <c r="W89" s="41"/>
      <c r="X89" s="19"/>
      <c r="Y89" s="34"/>
      <c r="Z89" s="40"/>
      <c r="AA89" s="41"/>
      <c r="AB89" s="19"/>
      <c r="AC89" s="34">
        <v>566</v>
      </c>
      <c r="AD89" s="40">
        <v>46086</v>
      </c>
      <c r="AE89" s="41">
        <v>41000000</v>
      </c>
      <c r="AG89" s="34"/>
      <c r="AH89" s="40"/>
      <c r="AI89" s="41"/>
      <c r="AK89" s="34"/>
      <c r="AL89" s="40"/>
      <c r="AM89" s="41"/>
      <c r="AO89" s="34"/>
      <c r="AP89" s="40"/>
      <c r="AQ89" s="41"/>
      <c r="AS89" s="34"/>
      <c r="AT89" s="40"/>
      <c r="AU89" s="41"/>
      <c r="AW89" s="34"/>
      <c r="AX89" s="40"/>
      <c r="AY89" s="41"/>
      <c r="BA89" s="34"/>
      <c r="BB89" s="40"/>
      <c r="BC89" s="41"/>
      <c r="BE89" s="34"/>
      <c r="BF89" s="40"/>
      <c r="BG89" s="41"/>
      <c r="BI89" s="34"/>
      <c r="BJ89" s="40"/>
      <c r="BK89" s="41"/>
      <c r="BM89" s="38">
        <f t="shared" si="1"/>
        <v>41000000</v>
      </c>
      <c r="BN89" s="19"/>
    </row>
    <row r="90" spans="1:66" ht="15.75" hidden="1" x14ac:dyDescent="0.25">
      <c r="A90" s="29">
        <v>88</v>
      </c>
      <c r="B90" s="69" t="s">
        <v>399</v>
      </c>
      <c r="C90" s="12" t="s">
        <v>400</v>
      </c>
      <c r="D90" s="5" t="s">
        <v>268</v>
      </c>
      <c r="E90" s="50">
        <v>47</v>
      </c>
      <c r="F90" s="51">
        <v>88</v>
      </c>
      <c r="G90" s="50"/>
      <c r="I90" s="52"/>
      <c r="J90" s="53"/>
      <c r="K90" s="36"/>
      <c r="L90" s="58"/>
      <c r="M90" s="52">
        <v>45</v>
      </c>
      <c r="N90" s="59">
        <v>45601</v>
      </c>
      <c r="O90" s="60">
        <v>6000000</v>
      </c>
      <c r="P90" s="19"/>
      <c r="Q90" s="34">
        <v>114</v>
      </c>
      <c r="R90" s="40">
        <v>45633</v>
      </c>
      <c r="S90" s="41">
        <v>7000000</v>
      </c>
      <c r="T90" s="19"/>
      <c r="U90" s="34">
        <v>158</v>
      </c>
      <c r="V90" s="40">
        <v>45656</v>
      </c>
      <c r="W90" s="41">
        <v>7000000</v>
      </c>
      <c r="X90" s="19"/>
      <c r="Y90" s="34">
        <v>269</v>
      </c>
      <c r="Z90" s="40">
        <v>45715</v>
      </c>
      <c r="AA90" s="41">
        <v>7000000</v>
      </c>
      <c r="AB90" s="19"/>
      <c r="AC90" s="34">
        <v>333</v>
      </c>
      <c r="AD90" s="40">
        <v>45780</v>
      </c>
      <c r="AE90" s="41">
        <v>6000000</v>
      </c>
      <c r="AG90" s="34">
        <v>497</v>
      </c>
      <c r="AH90" s="40">
        <v>46012</v>
      </c>
      <c r="AI90" s="41">
        <v>6000000</v>
      </c>
      <c r="AK90" s="34">
        <v>508</v>
      </c>
      <c r="AL90" s="40">
        <v>46019</v>
      </c>
      <c r="AM90" s="41">
        <v>6000000</v>
      </c>
      <c r="AO90" s="34">
        <v>624</v>
      </c>
      <c r="AP90" s="40">
        <v>46193</v>
      </c>
      <c r="AQ90" s="41">
        <v>7000000</v>
      </c>
      <c r="AS90" s="34">
        <v>643</v>
      </c>
      <c r="AT90" s="40">
        <v>46249</v>
      </c>
      <c r="AU90" s="41">
        <v>55000000</v>
      </c>
      <c r="AW90" s="34"/>
      <c r="AX90" s="40"/>
      <c r="AY90" s="41"/>
      <c r="BA90" s="34"/>
      <c r="BB90" s="40"/>
      <c r="BC90" s="41"/>
      <c r="BE90" s="34"/>
      <c r="BF90" s="40"/>
      <c r="BG90" s="41"/>
      <c r="BI90" s="34"/>
      <c r="BJ90" s="40"/>
      <c r="BK90" s="41"/>
      <c r="BM90" s="38">
        <f t="shared" si="1"/>
        <v>107000000</v>
      </c>
      <c r="BN90" s="19"/>
    </row>
    <row r="91" spans="1:66" ht="15.75" hidden="1" x14ac:dyDescent="0.25">
      <c r="A91" s="29">
        <v>89</v>
      </c>
      <c r="B91" s="69" t="s">
        <v>399</v>
      </c>
      <c r="C91" s="12" t="s">
        <v>401</v>
      </c>
      <c r="D91" s="5" t="s">
        <v>402</v>
      </c>
      <c r="E91" s="50">
        <v>39</v>
      </c>
      <c r="F91" s="51">
        <v>89</v>
      </c>
      <c r="G91" s="50"/>
      <c r="I91" s="52"/>
      <c r="J91" s="53"/>
      <c r="K91" s="36"/>
      <c r="L91" s="58"/>
      <c r="M91" s="52">
        <v>54</v>
      </c>
      <c r="N91" s="59">
        <v>45602</v>
      </c>
      <c r="O91" s="60">
        <v>6000000</v>
      </c>
      <c r="P91" s="58"/>
      <c r="Q91" s="52">
        <v>55</v>
      </c>
      <c r="R91" s="59">
        <v>45602</v>
      </c>
      <c r="S91" s="60">
        <v>7000000</v>
      </c>
      <c r="T91" s="19"/>
      <c r="U91" s="34">
        <v>147</v>
      </c>
      <c r="V91" s="40">
        <v>45649</v>
      </c>
      <c r="W91" s="41">
        <v>7000000</v>
      </c>
      <c r="X91" s="19"/>
      <c r="Y91" s="34">
        <v>300</v>
      </c>
      <c r="Z91" s="40">
        <v>45738</v>
      </c>
      <c r="AA91" s="41">
        <v>7000000</v>
      </c>
      <c r="AB91" s="19"/>
      <c r="AC91" s="34">
        <v>373</v>
      </c>
      <c r="AD91" s="40">
        <v>45832</v>
      </c>
      <c r="AE91" s="41">
        <v>6000000</v>
      </c>
      <c r="AG91" s="34">
        <v>546</v>
      </c>
      <c r="AH91" s="40">
        <v>46071</v>
      </c>
      <c r="AI91" s="41">
        <v>6000000</v>
      </c>
      <c r="AK91" s="34">
        <v>570</v>
      </c>
      <c r="AL91" s="40">
        <v>46109</v>
      </c>
      <c r="AM91" s="41">
        <v>6000000</v>
      </c>
      <c r="AO91" s="34">
        <v>596</v>
      </c>
      <c r="AP91" s="40">
        <v>46151</v>
      </c>
      <c r="AQ91" s="41">
        <v>4000000</v>
      </c>
      <c r="AS91" s="34"/>
      <c r="AT91" s="40"/>
      <c r="AU91" s="41"/>
      <c r="AW91" s="34"/>
      <c r="AX91" s="40"/>
      <c r="AY91" s="41"/>
      <c r="BA91" s="34"/>
      <c r="BB91" s="40"/>
      <c r="BC91" s="41"/>
      <c r="BE91" s="34"/>
      <c r="BF91" s="40"/>
      <c r="BG91" s="41"/>
      <c r="BI91" s="34"/>
      <c r="BJ91" s="40"/>
      <c r="BK91" s="41"/>
      <c r="BM91" s="38">
        <f t="shared" si="1"/>
        <v>49000000</v>
      </c>
      <c r="BN91" s="19"/>
    </row>
    <row r="92" spans="1:66" ht="15.75" hidden="1" x14ac:dyDescent="0.25">
      <c r="A92" s="29">
        <v>90</v>
      </c>
      <c r="B92" s="69" t="s">
        <v>399</v>
      </c>
      <c r="C92" s="13" t="s">
        <v>403</v>
      </c>
      <c r="D92" s="18" t="s">
        <v>404</v>
      </c>
      <c r="E92" s="16">
        <v>41</v>
      </c>
      <c r="F92" s="33">
        <v>90</v>
      </c>
      <c r="G92" s="16"/>
      <c r="I92" s="34"/>
      <c r="J92" s="35"/>
      <c r="K92" s="36"/>
      <c r="L92" s="19"/>
      <c r="M92" s="34">
        <v>132</v>
      </c>
      <c r="N92" s="40">
        <v>45641</v>
      </c>
      <c r="O92" s="41">
        <v>6000000</v>
      </c>
      <c r="P92" s="19"/>
      <c r="Q92" s="34">
        <v>133</v>
      </c>
      <c r="R92" s="40">
        <v>45641</v>
      </c>
      <c r="S92" s="41">
        <v>7000000</v>
      </c>
      <c r="T92" s="19"/>
      <c r="U92" s="34">
        <v>134</v>
      </c>
      <c r="V92" s="40">
        <v>45641</v>
      </c>
      <c r="W92" s="41">
        <v>7000000</v>
      </c>
      <c r="X92" s="19"/>
      <c r="Y92" s="34">
        <v>388</v>
      </c>
      <c r="Z92" s="40">
        <v>45854</v>
      </c>
      <c r="AA92" s="41">
        <v>7000000</v>
      </c>
      <c r="AB92" s="19"/>
      <c r="AC92" s="34">
        <v>442</v>
      </c>
      <c r="AD92" s="40">
        <v>45950</v>
      </c>
      <c r="AE92" s="41">
        <v>6000000</v>
      </c>
      <c r="AG92" s="34"/>
      <c r="AH92" s="40"/>
      <c r="AI92" s="41"/>
      <c r="AK92" s="34"/>
      <c r="AL92" s="40"/>
      <c r="AM92" s="41"/>
      <c r="AO92" s="34"/>
      <c r="AP92" s="40"/>
      <c r="AQ92" s="41"/>
      <c r="AS92" s="34"/>
      <c r="AT92" s="40"/>
      <c r="AU92" s="41"/>
      <c r="AW92" s="34"/>
      <c r="AX92" s="40"/>
      <c r="AY92" s="41"/>
      <c r="BA92" s="34"/>
      <c r="BB92" s="40"/>
      <c r="BC92" s="41"/>
      <c r="BE92" s="34"/>
      <c r="BF92" s="40"/>
      <c r="BG92" s="41"/>
      <c r="BI92" s="34"/>
      <c r="BJ92" s="40"/>
      <c r="BK92" s="41"/>
      <c r="BM92" s="38">
        <f t="shared" si="1"/>
        <v>33000000</v>
      </c>
      <c r="BN92" s="19"/>
    </row>
    <row r="93" spans="1:66" ht="15.75" hidden="1" x14ac:dyDescent="0.25">
      <c r="A93" s="29">
        <v>91</v>
      </c>
      <c r="B93" s="69" t="s">
        <v>399</v>
      </c>
      <c r="C93" s="12" t="s">
        <v>754</v>
      </c>
      <c r="D93" s="5" t="s">
        <v>406</v>
      </c>
      <c r="E93" s="50">
        <v>43</v>
      </c>
      <c r="F93" s="51">
        <v>91</v>
      </c>
      <c r="G93" s="50"/>
      <c r="I93" s="52"/>
      <c r="J93" s="53"/>
      <c r="K93" s="54"/>
      <c r="L93" s="58"/>
      <c r="M93" s="52">
        <v>619</v>
      </c>
      <c r="N93" s="59">
        <v>46182</v>
      </c>
      <c r="O93" s="60">
        <v>96000000</v>
      </c>
      <c r="P93" s="58"/>
      <c r="Q93" s="52">
        <v>622</v>
      </c>
      <c r="R93" s="59">
        <v>46191</v>
      </c>
      <c r="S93" s="60">
        <v>25000000</v>
      </c>
      <c r="T93" s="19"/>
      <c r="U93" s="34">
        <v>646</v>
      </c>
      <c r="V93" s="40">
        <v>46252</v>
      </c>
      <c r="W93" s="41">
        <v>14000000</v>
      </c>
      <c r="X93" s="19"/>
      <c r="Y93" s="34"/>
      <c r="Z93" s="40"/>
      <c r="AA93" s="41"/>
      <c r="AB93" s="19"/>
      <c r="AC93" s="34"/>
      <c r="AD93" s="40"/>
      <c r="AE93" s="41"/>
      <c r="AG93" s="34"/>
      <c r="AH93" s="40"/>
      <c r="AI93" s="41"/>
      <c r="AK93" s="34"/>
      <c r="AL93" s="40"/>
      <c r="AM93" s="41"/>
      <c r="AO93" s="34"/>
      <c r="AP93" s="40"/>
      <c r="AQ93" s="41"/>
      <c r="AS93" s="34"/>
      <c r="AT93" s="40"/>
      <c r="AU93" s="41"/>
      <c r="AW93" s="34"/>
      <c r="AX93" s="40"/>
      <c r="AY93" s="41"/>
      <c r="BA93" s="34"/>
      <c r="BB93" s="40"/>
      <c r="BC93" s="41"/>
      <c r="BE93" s="34"/>
      <c r="BF93" s="40"/>
      <c r="BG93" s="41"/>
      <c r="BI93" s="34"/>
      <c r="BJ93" s="40"/>
      <c r="BK93" s="41"/>
      <c r="BM93" s="38">
        <f t="shared" si="1"/>
        <v>135000000</v>
      </c>
      <c r="BN93" s="19"/>
    </row>
    <row r="94" spans="1:66" ht="15.75" hidden="1" x14ac:dyDescent="0.25">
      <c r="A94" s="29">
        <v>92</v>
      </c>
      <c r="B94" s="69" t="s">
        <v>399</v>
      </c>
      <c r="C94" s="13" t="s">
        <v>407</v>
      </c>
      <c r="D94" s="18" t="s">
        <v>242</v>
      </c>
      <c r="E94" s="16">
        <v>102</v>
      </c>
      <c r="F94" s="33">
        <v>92</v>
      </c>
      <c r="G94" s="56" t="s">
        <v>347</v>
      </c>
      <c r="I94" s="34">
        <v>346</v>
      </c>
      <c r="J94" s="35">
        <v>45791</v>
      </c>
      <c r="K94" s="70">
        <v>90000000</v>
      </c>
      <c r="L94" s="19"/>
      <c r="M94" s="34"/>
      <c r="N94" s="35"/>
      <c r="O94" s="70"/>
      <c r="P94" s="19"/>
      <c r="Q94" s="34"/>
      <c r="R94" s="40"/>
      <c r="S94" s="41"/>
      <c r="T94" s="19"/>
      <c r="U94" s="34"/>
      <c r="V94" s="40"/>
      <c r="W94" s="41"/>
      <c r="X94" s="19"/>
      <c r="Y94" s="34"/>
      <c r="Z94" s="40"/>
      <c r="AA94" s="41"/>
      <c r="AB94" s="19"/>
      <c r="AC94" s="34"/>
      <c r="AD94" s="40"/>
      <c r="AE94" s="41"/>
      <c r="AG94" s="34"/>
      <c r="AH94" s="40"/>
      <c r="AI94" s="41"/>
      <c r="AK94" s="34"/>
      <c r="AL94" s="40"/>
      <c r="AM94" s="41"/>
      <c r="AO94" s="34"/>
      <c r="AP94" s="40"/>
      <c r="AQ94" s="41"/>
      <c r="AS94" s="34"/>
      <c r="AT94" s="40"/>
      <c r="AU94" s="41"/>
      <c r="AW94" s="34"/>
      <c r="AX94" s="40"/>
      <c r="AY94" s="41"/>
      <c r="BA94" s="34"/>
      <c r="BB94" s="40"/>
      <c r="BC94" s="41"/>
      <c r="BE94" s="34"/>
      <c r="BF94" s="40"/>
      <c r="BG94" s="41"/>
      <c r="BI94" s="34"/>
      <c r="BJ94" s="40"/>
      <c r="BK94" s="41"/>
      <c r="BM94" s="38">
        <f t="shared" si="1"/>
        <v>90000000</v>
      </c>
      <c r="BN94" s="19"/>
    </row>
    <row r="95" spans="1:66" ht="15.75" hidden="1" x14ac:dyDescent="0.25">
      <c r="A95" s="29">
        <v>93</v>
      </c>
      <c r="B95" s="69" t="s">
        <v>399</v>
      </c>
      <c r="C95" s="12" t="s">
        <v>408</v>
      </c>
      <c r="D95" s="18" t="s">
        <v>242</v>
      </c>
      <c r="E95" s="16">
        <v>56</v>
      </c>
      <c r="F95" s="33">
        <v>93</v>
      </c>
      <c r="G95" s="56" t="s">
        <v>347</v>
      </c>
      <c r="I95" s="34">
        <v>345</v>
      </c>
      <c r="J95" s="35">
        <v>45791</v>
      </c>
      <c r="K95" s="70">
        <v>50000000</v>
      </c>
      <c r="L95" s="19"/>
      <c r="M95" s="34">
        <v>426</v>
      </c>
      <c r="N95" s="35">
        <v>45934</v>
      </c>
      <c r="O95" s="70">
        <v>10000000</v>
      </c>
      <c r="P95" s="19"/>
      <c r="Q95" s="34">
        <v>527</v>
      </c>
      <c r="R95" s="35">
        <v>46044</v>
      </c>
      <c r="S95" s="70">
        <v>8500000</v>
      </c>
      <c r="T95" s="19"/>
      <c r="U95" s="34">
        <v>571</v>
      </c>
      <c r="V95" s="40">
        <v>46109</v>
      </c>
      <c r="W95" s="41">
        <v>5000000</v>
      </c>
      <c r="X95" s="19"/>
      <c r="Y95" s="34"/>
      <c r="Z95" s="40"/>
      <c r="AA95" s="41"/>
      <c r="AB95" s="19"/>
      <c r="AC95" s="34"/>
      <c r="AD95" s="40"/>
      <c r="AE95" s="41"/>
      <c r="AG95" s="34"/>
      <c r="AH95" s="40"/>
      <c r="AI95" s="41"/>
      <c r="AK95" s="34"/>
      <c r="AL95" s="40"/>
      <c r="AM95" s="41"/>
      <c r="AO95" s="34"/>
      <c r="AP95" s="40"/>
      <c r="AQ95" s="41"/>
      <c r="AS95" s="34"/>
      <c r="AT95" s="40"/>
      <c r="AU95" s="41"/>
      <c r="AW95" s="34"/>
      <c r="AX95" s="40"/>
      <c r="AY95" s="41"/>
      <c r="BA95" s="34"/>
      <c r="BB95" s="40"/>
      <c r="BC95" s="41"/>
      <c r="BE95" s="34"/>
      <c r="BF95" s="40"/>
      <c r="BG95" s="41"/>
      <c r="BI95" s="34"/>
      <c r="BJ95" s="40"/>
      <c r="BK95" s="41"/>
      <c r="BM95" s="38">
        <f t="shared" si="1"/>
        <v>73500000</v>
      </c>
      <c r="BN95" s="19"/>
    </row>
    <row r="96" spans="1:66" ht="15.75" hidden="1" x14ac:dyDescent="0.25">
      <c r="A96" s="29">
        <v>94</v>
      </c>
      <c r="B96" s="69" t="s">
        <v>399</v>
      </c>
      <c r="C96" s="13" t="s">
        <v>199</v>
      </c>
      <c r="D96" s="18" t="s">
        <v>409</v>
      </c>
      <c r="E96" s="16">
        <v>45</v>
      </c>
      <c r="F96" s="33">
        <v>94</v>
      </c>
      <c r="G96" s="16"/>
      <c r="I96" s="34"/>
      <c r="J96" s="35"/>
      <c r="K96" s="36"/>
      <c r="L96" s="19"/>
      <c r="M96" s="34">
        <v>16</v>
      </c>
      <c r="N96" s="40">
        <v>45592</v>
      </c>
      <c r="O96" s="41">
        <v>6000000</v>
      </c>
      <c r="P96" s="19"/>
      <c r="Q96" s="34">
        <v>116</v>
      </c>
      <c r="R96" s="40">
        <v>45635</v>
      </c>
      <c r="S96" s="41">
        <v>7000000</v>
      </c>
      <c r="T96" s="19"/>
      <c r="U96" s="34">
        <v>160</v>
      </c>
      <c r="V96" s="40">
        <v>45657</v>
      </c>
      <c r="W96" s="41">
        <v>7000000</v>
      </c>
      <c r="X96" s="19"/>
      <c r="Y96" s="34">
        <v>242</v>
      </c>
      <c r="Z96" s="40">
        <v>45705</v>
      </c>
      <c r="AA96" s="41">
        <v>7000000</v>
      </c>
      <c r="AB96" s="19"/>
      <c r="AC96" s="34">
        <v>359</v>
      </c>
      <c r="AD96" s="40">
        <v>45811</v>
      </c>
      <c r="AE96" s="41">
        <v>6000000</v>
      </c>
      <c r="AG96" s="34" t="s">
        <v>410</v>
      </c>
      <c r="AH96" s="40">
        <v>45998</v>
      </c>
      <c r="AI96" s="41">
        <v>6000000</v>
      </c>
      <c r="AK96" s="165" t="s">
        <v>1392</v>
      </c>
      <c r="AL96" s="40">
        <v>46086</v>
      </c>
      <c r="AM96" s="41">
        <v>6000000</v>
      </c>
      <c r="AO96" s="34">
        <v>633</v>
      </c>
      <c r="AP96" s="40">
        <v>46217</v>
      </c>
      <c r="AQ96" s="41">
        <v>7000000</v>
      </c>
      <c r="AS96" s="34"/>
      <c r="AT96" s="40"/>
      <c r="AU96" s="41"/>
      <c r="AW96" s="34"/>
      <c r="AX96" s="40"/>
      <c r="AY96" s="41"/>
      <c r="BA96" s="34"/>
      <c r="BB96" s="40"/>
      <c r="BC96" s="41"/>
      <c r="BE96" s="34"/>
      <c r="BF96" s="40"/>
      <c r="BG96" s="41"/>
      <c r="BI96" s="34"/>
      <c r="BJ96" s="40"/>
      <c r="BK96" s="41"/>
      <c r="BM96" s="38">
        <f t="shared" si="1"/>
        <v>52000000</v>
      </c>
      <c r="BN96" s="19"/>
    </row>
    <row r="97" spans="1:66" ht="15.75" hidden="1" x14ac:dyDescent="0.25">
      <c r="A97" s="29">
        <v>95</v>
      </c>
      <c r="B97" s="69" t="s">
        <v>399</v>
      </c>
      <c r="C97" s="12" t="s">
        <v>411</v>
      </c>
      <c r="D97" s="5" t="s">
        <v>412</v>
      </c>
      <c r="E97" s="50">
        <v>48</v>
      </c>
      <c r="F97" s="51">
        <v>95</v>
      </c>
      <c r="G97" s="50"/>
      <c r="I97" s="52"/>
      <c r="J97" s="53"/>
      <c r="K97" s="36"/>
      <c r="L97" s="58"/>
      <c r="M97" s="52">
        <v>52</v>
      </c>
      <c r="N97" s="59">
        <v>45602</v>
      </c>
      <c r="O97" s="60">
        <v>6000000</v>
      </c>
      <c r="P97" s="19"/>
      <c r="Q97" s="34">
        <v>159</v>
      </c>
      <c r="R97" s="40">
        <v>45656</v>
      </c>
      <c r="S97" s="41">
        <v>7000000</v>
      </c>
      <c r="T97" s="19"/>
      <c r="U97" s="34" t="s">
        <v>413</v>
      </c>
      <c r="V97" s="40">
        <v>45687</v>
      </c>
      <c r="W97" s="41">
        <v>7000000</v>
      </c>
      <c r="X97" s="19"/>
      <c r="Y97" s="34" t="s">
        <v>414</v>
      </c>
      <c r="Z97" s="40">
        <v>45836</v>
      </c>
      <c r="AA97" s="41">
        <v>7000000</v>
      </c>
      <c r="AB97" s="19"/>
      <c r="AC97" s="34" t="s">
        <v>415</v>
      </c>
      <c r="AD97" s="40">
        <v>45921</v>
      </c>
      <c r="AE97" s="41">
        <v>6000000</v>
      </c>
      <c r="AG97" s="34">
        <v>591</v>
      </c>
      <c r="AH97" s="40">
        <v>46144</v>
      </c>
      <c r="AI97" s="41">
        <v>6000000</v>
      </c>
      <c r="AK97" s="34"/>
      <c r="AL97" s="40"/>
      <c r="AM97" s="41"/>
      <c r="AO97" s="34"/>
      <c r="AP97" s="40"/>
      <c r="AQ97" s="41"/>
      <c r="AS97" s="34"/>
      <c r="AT97" s="40"/>
      <c r="AU97" s="41"/>
      <c r="AW97" s="34"/>
      <c r="AX97" s="40"/>
      <c r="AY97" s="41"/>
      <c r="BA97" s="34"/>
      <c r="BB97" s="40"/>
      <c r="BC97" s="41"/>
      <c r="BE97" s="34"/>
      <c r="BF97" s="40"/>
      <c r="BG97" s="41"/>
      <c r="BI97" s="34"/>
      <c r="BJ97" s="40"/>
      <c r="BK97" s="41"/>
      <c r="BM97" s="38">
        <f t="shared" si="1"/>
        <v>39000000</v>
      </c>
      <c r="BN97" s="19"/>
    </row>
    <row r="98" spans="1:66" ht="15.75" hidden="1" x14ac:dyDescent="0.25">
      <c r="A98" s="29">
        <v>96</v>
      </c>
      <c r="B98" s="69" t="s">
        <v>399</v>
      </c>
      <c r="C98" s="13" t="s">
        <v>97</v>
      </c>
      <c r="D98" s="18"/>
      <c r="E98" s="16">
        <v>40</v>
      </c>
      <c r="F98" s="33">
        <v>96</v>
      </c>
      <c r="G98" s="16"/>
      <c r="I98" s="52" t="s">
        <v>416</v>
      </c>
      <c r="J98" s="53">
        <v>45657</v>
      </c>
      <c r="K98" s="54">
        <v>8000000</v>
      </c>
      <c r="L98" s="19"/>
      <c r="M98" s="34">
        <v>429</v>
      </c>
      <c r="N98" s="40">
        <v>45937</v>
      </c>
      <c r="O98" s="41">
        <v>6000000</v>
      </c>
      <c r="P98" s="19"/>
      <c r="Q98" s="34">
        <v>429</v>
      </c>
      <c r="R98" s="40">
        <v>45937</v>
      </c>
      <c r="S98" s="41">
        <v>7000000</v>
      </c>
      <c r="T98" s="19"/>
      <c r="U98" s="34">
        <v>429</v>
      </c>
      <c r="V98" s="40">
        <v>45937</v>
      </c>
      <c r="W98" s="41">
        <v>7000000</v>
      </c>
      <c r="X98" s="19"/>
      <c r="Y98" s="34">
        <v>429</v>
      </c>
      <c r="Z98" s="40">
        <v>45937</v>
      </c>
      <c r="AA98" s="41">
        <v>7000000</v>
      </c>
      <c r="AB98" s="19"/>
      <c r="AC98" s="34">
        <v>429</v>
      </c>
      <c r="AD98" s="40">
        <v>45937</v>
      </c>
      <c r="AE98" s="41">
        <v>6000000</v>
      </c>
      <c r="AG98" s="34">
        <v>429</v>
      </c>
      <c r="AH98" s="40">
        <v>45937</v>
      </c>
      <c r="AI98" s="41">
        <v>7000000</v>
      </c>
      <c r="AK98" s="34">
        <v>429</v>
      </c>
      <c r="AL98" s="40">
        <v>45937</v>
      </c>
      <c r="AM98" s="41">
        <v>7000000</v>
      </c>
      <c r="AO98" s="34">
        <v>430</v>
      </c>
      <c r="AP98" s="40">
        <v>45937</v>
      </c>
      <c r="AQ98" s="41">
        <v>5000000</v>
      </c>
      <c r="AS98" s="34">
        <v>524</v>
      </c>
      <c r="AT98" s="40">
        <v>46034</v>
      </c>
      <c r="AU98" s="41">
        <v>5000000</v>
      </c>
      <c r="AW98" s="34"/>
      <c r="AX98" s="40"/>
      <c r="AY98" s="41"/>
      <c r="BA98" s="34"/>
      <c r="BB98" s="40"/>
      <c r="BC98" s="41"/>
      <c r="BE98" s="34"/>
      <c r="BF98" s="40"/>
      <c r="BG98" s="41"/>
      <c r="BI98" s="34"/>
      <c r="BJ98" s="40"/>
      <c r="BK98" s="41"/>
      <c r="BM98" s="38">
        <f t="shared" si="1"/>
        <v>65000000</v>
      </c>
      <c r="BN98" s="19"/>
    </row>
    <row r="99" spans="1:66" ht="15.75" hidden="1" x14ac:dyDescent="0.25">
      <c r="A99" s="29">
        <v>97</v>
      </c>
      <c r="B99" s="69" t="s">
        <v>399</v>
      </c>
      <c r="C99" s="47" t="s">
        <v>1729</v>
      </c>
      <c r="D99" s="48" t="s">
        <v>242</v>
      </c>
      <c r="E99" s="47">
        <v>42</v>
      </c>
      <c r="F99" s="49">
        <v>97</v>
      </c>
      <c r="G99" s="56" t="s">
        <v>265</v>
      </c>
      <c r="I99" s="34">
        <v>626</v>
      </c>
      <c r="J99" s="35">
        <v>46202</v>
      </c>
      <c r="K99" s="36">
        <v>135000000</v>
      </c>
      <c r="L99" s="19"/>
      <c r="M99" s="34">
        <v>635</v>
      </c>
      <c r="N99" s="40">
        <v>46228</v>
      </c>
      <c r="O99" s="71">
        <v>135000000</v>
      </c>
      <c r="P99" s="19"/>
      <c r="Q99" s="34"/>
      <c r="R99" s="40"/>
      <c r="S99" s="71"/>
      <c r="T99" s="19"/>
      <c r="U99" s="34"/>
      <c r="V99" s="40"/>
      <c r="W99" s="71"/>
      <c r="X99" s="19"/>
      <c r="Y99" s="34"/>
      <c r="Z99" s="40"/>
      <c r="AA99" s="71"/>
      <c r="AB99" s="19"/>
      <c r="AC99" s="34"/>
      <c r="AD99" s="40"/>
      <c r="AE99" s="71"/>
      <c r="AG99" s="34"/>
      <c r="AH99" s="40"/>
      <c r="AI99" s="71"/>
      <c r="AK99" s="34"/>
      <c r="AL99" s="40"/>
      <c r="AM99" s="71"/>
      <c r="AO99" s="34"/>
      <c r="AP99" s="40"/>
      <c r="AQ99" s="71"/>
      <c r="AS99" s="34"/>
      <c r="AT99" s="40"/>
      <c r="AU99" s="71"/>
      <c r="AW99" s="34"/>
      <c r="AX99" s="40"/>
      <c r="AY99" s="71"/>
      <c r="BA99" s="34"/>
      <c r="BB99" s="40"/>
      <c r="BC99" s="71"/>
      <c r="BE99" s="34"/>
      <c r="BF99" s="40"/>
      <c r="BG99" s="71"/>
      <c r="BI99" s="34"/>
      <c r="BJ99" s="40"/>
      <c r="BK99" s="71"/>
      <c r="BM99" s="38">
        <f t="shared" si="1"/>
        <v>270000000</v>
      </c>
      <c r="BN99" s="19"/>
    </row>
    <row r="100" spans="1:66" ht="15.75" hidden="1" x14ac:dyDescent="0.25">
      <c r="A100" s="29">
        <v>98</v>
      </c>
      <c r="B100" s="69" t="s">
        <v>399</v>
      </c>
      <c r="C100" s="43" t="s">
        <v>1726</v>
      </c>
      <c r="D100" s="5" t="s">
        <v>418</v>
      </c>
      <c r="E100" s="50">
        <v>44</v>
      </c>
      <c r="F100" s="51">
        <v>98</v>
      </c>
      <c r="G100" s="67"/>
      <c r="I100" s="52">
        <v>580</v>
      </c>
      <c r="J100" s="59">
        <v>46116</v>
      </c>
      <c r="K100" s="36">
        <v>135000000</v>
      </c>
      <c r="L100" s="58"/>
      <c r="M100" s="52">
        <v>625</v>
      </c>
      <c r="N100" s="59">
        <v>46194</v>
      </c>
      <c r="O100" s="60">
        <v>135000000</v>
      </c>
      <c r="P100" s="58"/>
      <c r="Q100" s="52"/>
      <c r="R100" s="59"/>
      <c r="S100" s="60"/>
      <c r="T100" s="19"/>
      <c r="U100" s="34"/>
      <c r="V100" s="40"/>
      <c r="W100" s="41"/>
      <c r="X100" s="19"/>
      <c r="Y100" s="34"/>
      <c r="Z100" s="40"/>
      <c r="AA100" s="41"/>
      <c r="AB100" s="19"/>
      <c r="AC100" s="34"/>
      <c r="AD100" s="40"/>
      <c r="AE100" s="41"/>
      <c r="AG100" s="34"/>
      <c r="AH100" s="40"/>
      <c r="AI100" s="41"/>
      <c r="AK100" s="34"/>
      <c r="AL100" s="40"/>
      <c r="AM100" s="41"/>
      <c r="AO100" s="34"/>
      <c r="AP100" s="40"/>
      <c r="AQ100" s="41"/>
      <c r="AS100" s="34"/>
      <c r="AT100" s="40"/>
      <c r="AU100" s="41"/>
      <c r="AW100" s="34"/>
      <c r="AX100" s="40"/>
      <c r="AY100" s="41"/>
      <c r="BA100" s="34"/>
      <c r="BB100" s="40"/>
      <c r="BC100" s="41"/>
      <c r="BE100" s="34"/>
      <c r="BF100" s="40"/>
      <c r="BG100" s="41"/>
      <c r="BI100" s="34"/>
      <c r="BJ100" s="40"/>
      <c r="BK100" s="41"/>
      <c r="BM100" s="38">
        <f t="shared" si="1"/>
        <v>270000000</v>
      </c>
      <c r="BN100" s="19"/>
    </row>
    <row r="101" spans="1:66" ht="15.75" hidden="1" x14ac:dyDescent="0.25">
      <c r="A101" s="29">
        <v>99</v>
      </c>
      <c r="B101" s="69" t="s">
        <v>399</v>
      </c>
      <c r="C101" s="13" t="s">
        <v>419</v>
      </c>
      <c r="D101" s="18" t="s">
        <v>420</v>
      </c>
      <c r="E101" s="16">
        <v>46</v>
      </c>
      <c r="F101" s="33">
        <v>99</v>
      </c>
      <c r="G101" s="16"/>
      <c r="I101" s="34"/>
      <c r="J101" s="35"/>
      <c r="K101" s="36"/>
      <c r="L101" s="19"/>
      <c r="M101" s="34">
        <v>17</v>
      </c>
      <c r="N101" s="40">
        <v>45592</v>
      </c>
      <c r="O101" s="41" t="s">
        <v>565</v>
      </c>
      <c r="P101" s="19"/>
      <c r="Q101" s="34">
        <v>119</v>
      </c>
      <c r="R101" s="40">
        <v>45637</v>
      </c>
      <c r="S101" s="41">
        <v>7000000</v>
      </c>
      <c r="T101" s="19"/>
      <c r="U101" s="34">
        <v>289</v>
      </c>
      <c r="V101" s="40">
        <v>45728</v>
      </c>
      <c r="W101" s="41">
        <v>7000000</v>
      </c>
      <c r="X101" s="19"/>
      <c r="Y101" s="34">
        <v>384</v>
      </c>
      <c r="Z101" s="40">
        <v>45847</v>
      </c>
      <c r="AA101" s="41">
        <v>7000000</v>
      </c>
      <c r="AB101" s="19"/>
      <c r="AC101" s="34">
        <v>404</v>
      </c>
      <c r="AD101" s="40">
        <v>45886</v>
      </c>
      <c r="AE101" s="41">
        <v>6000000</v>
      </c>
      <c r="AG101" s="34">
        <v>585</v>
      </c>
      <c r="AH101" s="40">
        <v>46130</v>
      </c>
      <c r="AI101" s="41">
        <v>6000000</v>
      </c>
      <c r="AK101" s="34"/>
      <c r="AL101" s="40"/>
      <c r="AM101" s="41"/>
      <c r="AO101" s="34"/>
      <c r="AP101" s="40"/>
      <c r="AQ101" s="41"/>
      <c r="AS101" s="34"/>
      <c r="AT101" s="40"/>
      <c r="AU101" s="41"/>
      <c r="AW101" s="34"/>
      <c r="AX101" s="40"/>
      <c r="AY101" s="41"/>
      <c r="BA101" s="34"/>
      <c r="BB101" s="40"/>
      <c r="BC101" s="41"/>
      <c r="BE101" s="34"/>
      <c r="BF101" s="40"/>
      <c r="BG101" s="41"/>
      <c r="BI101" s="34"/>
      <c r="BJ101" s="40"/>
      <c r="BK101" s="41"/>
      <c r="BM101" s="38">
        <f t="shared" si="1"/>
        <v>33000000</v>
      </c>
      <c r="BN101" s="19"/>
    </row>
    <row r="102" spans="1:66" ht="15.75" hidden="1" x14ac:dyDescent="0.25">
      <c r="A102" s="29">
        <v>100</v>
      </c>
      <c r="B102" s="68" t="s">
        <v>421</v>
      </c>
      <c r="C102" s="13" t="s">
        <v>1928</v>
      </c>
      <c r="D102" s="18" t="s">
        <v>422</v>
      </c>
      <c r="E102" s="16">
        <v>86</v>
      </c>
      <c r="F102" s="33">
        <v>100</v>
      </c>
      <c r="G102" s="16"/>
      <c r="I102" s="34"/>
      <c r="J102" s="35"/>
      <c r="K102" s="36"/>
      <c r="L102" s="19"/>
      <c r="M102" s="34">
        <v>19</v>
      </c>
      <c r="N102" s="40">
        <v>45593</v>
      </c>
      <c r="O102" s="41">
        <v>6000000</v>
      </c>
      <c r="P102" s="19"/>
      <c r="Q102" s="34">
        <v>153</v>
      </c>
      <c r="R102" s="40">
        <v>45651</v>
      </c>
      <c r="S102" s="41">
        <v>7000000</v>
      </c>
      <c r="T102" s="19"/>
      <c r="U102" s="34">
        <v>262</v>
      </c>
      <c r="V102" s="40">
        <v>45713</v>
      </c>
      <c r="W102" s="41">
        <v>7000000</v>
      </c>
      <c r="X102" s="19"/>
      <c r="Y102" s="34">
        <v>644</v>
      </c>
      <c r="Z102" s="40">
        <v>46251</v>
      </c>
      <c r="AA102" s="41">
        <v>32000000</v>
      </c>
      <c r="AB102" s="19"/>
      <c r="AC102" s="34"/>
      <c r="AD102" s="40"/>
      <c r="AE102" s="41"/>
      <c r="AG102" s="34"/>
      <c r="AH102" s="40"/>
      <c r="AI102" s="41"/>
      <c r="AK102" s="34"/>
      <c r="AL102" s="40"/>
      <c r="AM102" s="41"/>
      <c r="AO102" s="34"/>
      <c r="AP102" s="40"/>
      <c r="AQ102" s="41"/>
      <c r="AS102" s="34"/>
      <c r="AT102" s="40"/>
      <c r="AU102" s="41"/>
      <c r="AW102" s="34"/>
      <c r="AX102" s="40"/>
      <c r="AY102" s="41"/>
      <c r="BA102" s="34"/>
      <c r="BB102" s="40"/>
      <c r="BC102" s="41"/>
      <c r="BE102" s="34"/>
      <c r="BF102" s="40"/>
      <c r="BG102" s="41"/>
      <c r="BI102" s="34"/>
      <c r="BJ102" s="40"/>
      <c r="BK102" s="41"/>
      <c r="BM102" s="38">
        <f t="shared" si="1"/>
        <v>52000000</v>
      </c>
      <c r="BN102" s="19"/>
    </row>
    <row r="103" spans="1:66" ht="15.75" hidden="1" x14ac:dyDescent="0.25">
      <c r="A103" s="29">
        <v>101</v>
      </c>
      <c r="B103" s="68" t="s">
        <v>421</v>
      </c>
      <c r="C103" s="13" t="s">
        <v>423</v>
      </c>
      <c r="D103" s="18" t="s">
        <v>424</v>
      </c>
      <c r="E103" s="16">
        <v>88</v>
      </c>
      <c r="F103" s="33">
        <v>101</v>
      </c>
      <c r="G103" s="16"/>
      <c r="I103" s="34"/>
      <c r="J103" s="35"/>
      <c r="K103" s="36"/>
      <c r="L103" s="19"/>
      <c r="M103" s="34">
        <v>21</v>
      </c>
      <c r="N103" s="40">
        <v>45593</v>
      </c>
      <c r="O103" s="41">
        <v>6000000</v>
      </c>
      <c r="P103" s="19"/>
      <c r="Q103" s="34">
        <v>22</v>
      </c>
      <c r="R103" s="40">
        <v>45593</v>
      </c>
      <c r="S103" s="41">
        <v>7000000</v>
      </c>
      <c r="T103" s="19"/>
      <c r="U103" s="34">
        <v>154</v>
      </c>
      <c r="V103" s="40">
        <v>45651</v>
      </c>
      <c r="W103" s="41">
        <v>7000000</v>
      </c>
      <c r="X103" s="19"/>
      <c r="Y103" s="34">
        <v>313</v>
      </c>
      <c r="Z103" s="40">
        <v>45753</v>
      </c>
      <c r="AA103" s="41">
        <v>5000000</v>
      </c>
      <c r="AB103" s="19"/>
      <c r="AC103" s="34">
        <v>418</v>
      </c>
      <c r="AD103" s="40">
        <v>45913</v>
      </c>
      <c r="AE103" s="41">
        <v>6000000</v>
      </c>
      <c r="AG103" s="34"/>
      <c r="AH103" s="40"/>
      <c r="AI103" s="41"/>
      <c r="AK103" s="34"/>
      <c r="AL103" s="40"/>
      <c r="AM103" s="41"/>
      <c r="AO103" s="34"/>
      <c r="AP103" s="40"/>
      <c r="AQ103" s="41"/>
      <c r="AS103" s="34"/>
      <c r="AT103" s="40"/>
      <c r="AU103" s="41"/>
      <c r="AW103" s="34"/>
      <c r="AX103" s="40"/>
      <c r="AY103" s="41"/>
      <c r="BA103" s="34"/>
      <c r="BB103" s="40"/>
      <c r="BC103" s="41"/>
      <c r="BE103" s="34"/>
      <c r="BF103" s="40"/>
      <c r="BG103" s="41"/>
      <c r="BI103" s="34"/>
      <c r="BJ103" s="40"/>
      <c r="BK103" s="41"/>
      <c r="BM103" s="38">
        <f t="shared" si="1"/>
        <v>31000000</v>
      </c>
      <c r="BN103" s="19"/>
    </row>
    <row r="104" spans="1:66" ht="15.75" hidden="1" x14ac:dyDescent="0.25">
      <c r="A104" s="29">
        <v>102</v>
      </c>
      <c r="B104" s="68" t="s">
        <v>421</v>
      </c>
      <c r="C104" s="13" t="s">
        <v>425</v>
      </c>
      <c r="D104" s="18" t="s">
        <v>242</v>
      </c>
      <c r="E104" s="16">
        <v>90</v>
      </c>
      <c r="F104" s="33">
        <v>102</v>
      </c>
      <c r="G104" s="56" t="s">
        <v>265</v>
      </c>
      <c r="I104" s="34">
        <v>351</v>
      </c>
      <c r="J104" s="35">
        <v>45803</v>
      </c>
      <c r="K104" s="36" t="s">
        <v>265</v>
      </c>
      <c r="L104" s="19"/>
      <c r="M104" s="34"/>
      <c r="N104" s="40"/>
      <c r="O104" s="41"/>
      <c r="P104" s="19"/>
      <c r="Q104" s="34"/>
      <c r="R104" s="40"/>
      <c r="S104" s="41"/>
      <c r="T104" s="19"/>
      <c r="U104" s="34"/>
      <c r="V104" s="40"/>
      <c r="W104" s="41"/>
      <c r="X104" s="19"/>
      <c r="Y104" s="34"/>
      <c r="Z104" s="40"/>
      <c r="AA104" s="41"/>
      <c r="AB104" s="19"/>
      <c r="AC104" s="34"/>
      <c r="AD104" s="40"/>
      <c r="AE104" s="41"/>
      <c r="AG104" s="34"/>
      <c r="AH104" s="40"/>
      <c r="AI104" s="41"/>
      <c r="AK104" s="34"/>
      <c r="AL104" s="40"/>
      <c r="AM104" s="41"/>
      <c r="AO104" s="34"/>
      <c r="AP104" s="40"/>
      <c r="AQ104" s="41"/>
      <c r="AS104" s="34"/>
      <c r="AT104" s="40"/>
      <c r="AU104" s="41"/>
      <c r="AW104" s="34"/>
      <c r="AX104" s="40"/>
      <c r="AY104" s="41"/>
      <c r="BA104" s="34"/>
      <c r="BB104" s="40"/>
      <c r="BC104" s="41"/>
      <c r="BE104" s="34"/>
      <c r="BF104" s="40"/>
      <c r="BG104" s="41"/>
      <c r="BI104" s="34"/>
      <c r="BJ104" s="40"/>
      <c r="BK104" s="41"/>
      <c r="BM104" s="38">
        <f t="shared" si="1"/>
        <v>0</v>
      </c>
      <c r="BN104" s="19"/>
    </row>
    <row r="105" spans="1:66" ht="15.75" hidden="1" x14ac:dyDescent="0.25">
      <c r="A105" s="29">
        <v>103</v>
      </c>
      <c r="B105" s="68" t="s">
        <v>421</v>
      </c>
      <c r="C105" s="12" t="s">
        <v>426</v>
      </c>
      <c r="D105" s="5" t="s">
        <v>427</v>
      </c>
      <c r="E105" s="50">
        <v>92</v>
      </c>
      <c r="F105" s="51">
        <v>103</v>
      </c>
      <c r="G105" s="50"/>
      <c r="I105" s="52"/>
      <c r="J105" s="53"/>
      <c r="K105" s="36"/>
      <c r="L105" s="58"/>
      <c r="M105" s="52">
        <v>34</v>
      </c>
      <c r="N105" s="59">
        <v>45596</v>
      </c>
      <c r="O105" s="60">
        <v>6000000</v>
      </c>
      <c r="P105" s="58"/>
      <c r="Q105" s="52">
        <v>44</v>
      </c>
      <c r="R105" s="59">
        <v>45601</v>
      </c>
      <c r="S105" s="60">
        <v>7000000</v>
      </c>
      <c r="T105" s="19"/>
      <c r="U105" s="34">
        <v>144</v>
      </c>
      <c r="V105" s="40">
        <v>45647</v>
      </c>
      <c r="W105" s="41">
        <v>7000000</v>
      </c>
      <c r="X105" s="19"/>
      <c r="Y105" s="34">
        <v>348</v>
      </c>
      <c r="Z105" s="40">
        <v>45794</v>
      </c>
      <c r="AA105" s="41">
        <v>7000000</v>
      </c>
      <c r="AB105" s="19"/>
      <c r="AC105" s="34">
        <v>408</v>
      </c>
      <c r="AD105" s="40">
        <v>45901</v>
      </c>
      <c r="AE105" s="41">
        <v>6000000</v>
      </c>
      <c r="AG105" s="34"/>
      <c r="AH105" s="40"/>
      <c r="AI105" s="41"/>
      <c r="AK105" s="34"/>
      <c r="AL105" s="40"/>
      <c r="AM105" s="41"/>
      <c r="AO105" s="34"/>
      <c r="AP105" s="40"/>
      <c r="AQ105" s="41"/>
      <c r="AS105" s="34"/>
      <c r="AT105" s="40"/>
      <c r="AU105" s="41"/>
      <c r="AW105" s="34"/>
      <c r="AX105" s="40"/>
      <c r="AY105" s="41"/>
      <c r="BA105" s="34"/>
      <c r="BB105" s="40"/>
      <c r="BC105" s="41"/>
      <c r="BE105" s="34"/>
      <c r="BF105" s="40"/>
      <c r="BG105" s="41"/>
      <c r="BI105" s="34"/>
      <c r="BJ105" s="40"/>
      <c r="BK105" s="41"/>
      <c r="BM105" s="38">
        <f t="shared" si="1"/>
        <v>33000000</v>
      </c>
      <c r="BN105" s="19"/>
    </row>
    <row r="106" spans="1:66" ht="15.75" hidden="1" x14ac:dyDescent="0.25">
      <c r="A106" s="29">
        <v>104</v>
      </c>
      <c r="B106" s="68" t="s">
        <v>421</v>
      </c>
      <c r="C106" s="13" t="s">
        <v>428</v>
      </c>
      <c r="D106" s="18" t="s">
        <v>429</v>
      </c>
      <c r="E106" s="16">
        <v>94</v>
      </c>
      <c r="F106" s="33">
        <v>104</v>
      </c>
      <c r="G106" s="16"/>
      <c r="I106" s="34">
        <v>411</v>
      </c>
      <c r="J106" s="35">
        <v>45902</v>
      </c>
      <c r="K106" s="36">
        <v>8000000</v>
      </c>
      <c r="L106" s="19"/>
      <c r="M106" s="34">
        <v>411</v>
      </c>
      <c r="N106" s="40">
        <v>45902</v>
      </c>
      <c r="O106" s="41">
        <v>6000000</v>
      </c>
      <c r="P106" s="19"/>
      <c r="Q106" s="34">
        <v>411</v>
      </c>
      <c r="R106" s="40">
        <v>45902</v>
      </c>
      <c r="S106" s="41">
        <v>7000000</v>
      </c>
      <c r="T106" s="19"/>
      <c r="U106" s="34">
        <v>411</v>
      </c>
      <c r="V106" s="40">
        <v>45902</v>
      </c>
      <c r="W106" s="41">
        <v>7000000</v>
      </c>
      <c r="X106" s="19"/>
      <c r="Y106" s="34">
        <v>411</v>
      </c>
      <c r="Z106" s="40">
        <v>45902</v>
      </c>
      <c r="AA106" s="41">
        <v>7000000</v>
      </c>
      <c r="AB106" s="19"/>
      <c r="AC106" s="34" t="s">
        <v>430</v>
      </c>
      <c r="AD106" s="40">
        <v>45902</v>
      </c>
      <c r="AE106" s="41">
        <v>5500000</v>
      </c>
      <c r="AG106" s="34">
        <v>485</v>
      </c>
      <c r="AH106" s="40">
        <v>45994</v>
      </c>
      <c r="AI106" s="41">
        <v>7000000</v>
      </c>
      <c r="AK106" s="34"/>
      <c r="AL106" s="40"/>
      <c r="AM106" s="41"/>
      <c r="AO106" s="34"/>
      <c r="AP106" s="40"/>
      <c r="AQ106" s="41"/>
      <c r="AS106" s="34"/>
      <c r="AT106" s="40"/>
      <c r="AU106" s="41"/>
      <c r="AW106" s="34"/>
      <c r="AX106" s="40"/>
      <c r="AY106" s="41"/>
      <c r="BA106" s="34"/>
      <c r="BB106" s="40"/>
      <c r="BC106" s="41"/>
      <c r="BE106" s="34"/>
      <c r="BF106" s="40"/>
      <c r="BG106" s="41"/>
      <c r="BI106" s="34"/>
      <c r="BJ106" s="40"/>
      <c r="BK106" s="41"/>
      <c r="BM106" s="38">
        <f t="shared" si="1"/>
        <v>47500000</v>
      </c>
      <c r="BN106" s="19"/>
    </row>
    <row r="107" spans="1:66" ht="15.75" hidden="1" x14ac:dyDescent="0.25">
      <c r="A107" s="29">
        <v>105</v>
      </c>
      <c r="B107" s="68" t="s">
        <v>421</v>
      </c>
      <c r="C107" s="13" t="s">
        <v>40</v>
      </c>
      <c r="D107" s="18" t="s">
        <v>431</v>
      </c>
      <c r="E107" s="16">
        <v>49</v>
      </c>
      <c r="F107" s="33">
        <v>105</v>
      </c>
      <c r="G107" s="16"/>
      <c r="I107" s="34"/>
      <c r="J107" s="35"/>
      <c r="K107" s="36"/>
      <c r="L107" s="19"/>
      <c r="M107" s="34">
        <v>146</v>
      </c>
      <c r="N107" s="40">
        <v>45648</v>
      </c>
      <c r="O107" s="41">
        <v>6000000</v>
      </c>
      <c r="P107" s="19"/>
      <c r="Q107" s="34">
        <v>168</v>
      </c>
      <c r="R107" s="40">
        <v>45659</v>
      </c>
      <c r="S107" s="41">
        <v>7000000</v>
      </c>
      <c r="T107" s="19"/>
      <c r="U107" s="34">
        <v>193</v>
      </c>
      <c r="V107" s="40">
        <v>45676</v>
      </c>
      <c r="W107" s="41">
        <v>7000000</v>
      </c>
      <c r="X107" s="19"/>
      <c r="Y107" s="34">
        <v>320</v>
      </c>
      <c r="Z107" s="40">
        <v>45760</v>
      </c>
      <c r="AA107" s="41">
        <v>7000000</v>
      </c>
      <c r="AB107" s="19"/>
      <c r="AC107" s="72" t="s">
        <v>432</v>
      </c>
      <c r="AD107" s="40">
        <v>45950</v>
      </c>
      <c r="AE107" s="41">
        <v>6000000</v>
      </c>
      <c r="AG107" s="34"/>
      <c r="AH107" s="40"/>
      <c r="AI107" s="41"/>
      <c r="AK107" s="34"/>
      <c r="AL107" s="40"/>
      <c r="AM107" s="41"/>
      <c r="AO107" s="34"/>
      <c r="AP107" s="40"/>
      <c r="AQ107" s="41"/>
      <c r="AS107" s="34"/>
      <c r="AT107" s="40"/>
      <c r="AU107" s="41"/>
      <c r="AW107" s="34"/>
      <c r="AX107" s="40"/>
      <c r="AY107" s="41"/>
      <c r="BA107" s="34"/>
      <c r="BB107" s="40"/>
      <c r="BC107" s="41"/>
      <c r="BE107" s="34"/>
      <c r="BF107" s="40"/>
      <c r="BG107" s="41"/>
      <c r="BI107" s="34"/>
      <c r="BJ107" s="40"/>
      <c r="BK107" s="41"/>
      <c r="BM107" s="38">
        <f t="shared" si="1"/>
        <v>33000000</v>
      </c>
      <c r="BN107" s="19"/>
    </row>
    <row r="108" spans="1:66" ht="15.75" hidden="1" x14ac:dyDescent="0.25">
      <c r="A108" s="29">
        <v>106</v>
      </c>
      <c r="B108" s="68" t="s">
        <v>421</v>
      </c>
      <c r="C108" s="12" t="s">
        <v>433</v>
      </c>
      <c r="D108" s="5" t="s">
        <v>434</v>
      </c>
      <c r="E108" s="50">
        <v>51</v>
      </c>
      <c r="F108" s="51">
        <v>106</v>
      </c>
      <c r="G108" s="50"/>
      <c r="I108" s="52"/>
      <c r="J108" s="53"/>
      <c r="K108" s="54"/>
      <c r="L108" s="58"/>
      <c r="M108" s="52">
        <v>66</v>
      </c>
      <c r="N108" s="59">
        <v>45608</v>
      </c>
      <c r="O108" s="60">
        <v>6000000</v>
      </c>
      <c r="P108" s="58"/>
      <c r="Q108" s="52">
        <v>67</v>
      </c>
      <c r="R108" s="59">
        <v>45608</v>
      </c>
      <c r="S108" s="60">
        <v>7000000</v>
      </c>
      <c r="T108" s="19"/>
      <c r="U108" s="34">
        <v>141</v>
      </c>
      <c r="V108" s="40">
        <v>45645</v>
      </c>
      <c r="W108" s="41">
        <v>7000000</v>
      </c>
      <c r="X108" s="19"/>
      <c r="Y108" s="34">
        <v>297</v>
      </c>
      <c r="Z108" s="40">
        <v>45733</v>
      </c>
      <c r="AA108" s="41">
        <v>7000000</v>
      </c>
      <c r="AB108" s="19"/>
      <c r="AC108" s="34">
        <v>464</v>
      </c>
      <c r="AD108" s="40">
        <v>45986</v>
      </c>
      <c r="AE108" s="41">
        <v>6000000</v>
      </c>
      <c r="AG108" s="34"/>
      <c r="AH108" s="40"/>
      <c r="AI108" s="41"/>
      <c r="AK108" s="34"/>
      <c r="AL108" s="40"/>
      <c r="AM108" s="41"/>
      <c r="AO108" s="34"/>
      <c r="AP108" s="40"/>
      <c r="AQ108" s="41"/>
      <c r="AS108" s="34"/>
      <c r="AT108" s="40"/>
      <c r="AU108" s="41"/>
      <c r="AW108" s="34"/>
      <c r="AX108" s="40"/>
      <c r="AY108" s="41"/>
      <c r="BA108" s="34"/>
      <c r="BB108" s="40"/>
      <c r="BC108" s="41"/>
      <c r="BE108" s="34"/>
      <c r="BF108" s="40"/>
      <c r="BG108" s="41"/>
      <c r="BI108" s="34"/>
      <c r="BJ108" s="40"/>
      <c r="BK108" s="41"/>
      <c r="BM108" s="38">
        <f t="shared" si="1"/>
        <v>33000000</v>
      </c>
      <c r="BN108" s="19"/>
    </row>
    <row r="109" spans="1:66" ht="15.75" hidden="1" x14ac:dyDescent="0.25">
      <c r="A109" s="29">
        <v>107</v>
      </c>
      <c r="B109" s="68" t="s">
        <v>421</v>
      </c>
      <c r="C109" s="12" t="s">
        <v>435</v>
      </c>
      <c r="D109" s="5" t="s">
        <v>436</v>
      </c>
      <c r="E109" s="50">
        <v>53</v>
      </c>
      <c r="F109" s="51">
        <v>107</v>
      </c>
      <c r="G109" s="50"/>
      <c r="I109" s="52"/>
      <c r="J109" s="53"/>
      <c r="K109" s="54"/>
      <c r="L109" s="58"/>
      <c r="M109" s="52">
        <v>93</v>
      </c>
      <c r="N109" s="59">
        <v>45622</v>
      </c>
      <c r="O109" s="60">
        <v>6000000</v>
      </c>
      <c r="P109" s="19"/>
      <c r="Q109" s="34">
        <v>163</v>
      </c>
      <c r="R109" s="40">
        <v>45657</v>
      </c>
      <c r="S109" s="41">
        <v>7000000</v>
      </c>
      <c r="T109" s="19"/>
      <c r="U109" s="34">
        <v>273</v>
      </c>
      <c r="V109" s="40">
        <v>45717</v>
      </c>
      <c r="W109" s="41">
        <v>7000000</v>
      </c>
      <c r="X109" s="19"/>
      <c r="Y109" s="34">
        <v>374</v>
      </c>
      <c r="Z109" s="40">
        <v>45833</v>
      </c>
      <c r="AA109" s="41">
        <v>7000000</v>
      </c>
      <c r="AB109" s="19"/>
      <c r="AC109" s="34">
        <v>493</v>
      </c>
      <c r="AD109" s="40">
        <v>46005</v>
      </c>
      <c r="AE109" s="41">
        <v>6000000</v>
      </c>
      <c r="AG109" s="34"/>
      <c r="AH109" s="40"/>
      <c r="AI109" s="41"/>
      <c r="AK109" s="34"/>
      <c r="AL109" s="40"/>
      <c r="AM109" s="41"/>
      <c r="AO109" s="34"/>
      <c r="AP109" s="40"/>
      <c r="AQ109" s="41"/>
      <c r="AS109" s="34"/>
      <c r="AT109" s="40"/>
      <c r="AU109" s="41"/>
      <c r="AW109" s="34"/>
      <c r="AX109" s="40"/>
      <c r="AY109" s="41"/>
      <c r="BA109" s="34"/>
      <c r="BB109" s="40"/>
      <c r="BC109" s="41"/>
      <c r="BE109" s="34"/>
      <c r="BF109" s="40"/>
      <c r="BG109" s="41"/>
      <c r="BI109" s="34"/>
      <c r="BJ109" s="40"/>
      <c r="BK109" s="41"/>
      <c r="BM109" s="38">
        <f t="shared" si="1"/>
        <v>33000000</v>
      </c>
      <c r="BN109" s="19"/>
    </row>
    <row r="110" spans="1:66" ht="15.75" hidden="1" x14ac:dyDescent="0.25">
      <c r="A110" s="29">
        <v>108</v>
      </c>
      <c r="B110" s="68" t="s">
        <v>421</v>
      </c>
      <c r="C110" s="13" t="s">
        <v>437</v>
      </c>
      <c r="D110" s="18" t="s">
        <v>438</v>
      </c>
      <c r="E110" s="16">
        <v>55</v>
      </c>
      <c r="F110" s="33">
        <v>108</v>
      </c>
      <c r="G110" s="16"/>
      <c r="I110" s="34"/>
      <c r="J110" s="35"/>
      <c r="K110" s="36"/>
      <c r="L110" s="19"/>
      <c r="M110" s="34">
        <v>217</v>
      </c>
      <c r="N110" s="40">
        <v>45692</v>
      </c>
      <c r="O110" s="41">
        <v>6000000</v>
      </c>
      <c r="P110" s="19"/>
      <c r="Q110" s="34">
        <v>218</v>
      </c>
      <c r="R110" s="40">
        <v>45692</v>
      </c>
      <c r="S110" s="41">
        <v>7000000</v>
      </c>
      <c r="T110" s="19"/>
      <c r="U110" s="34" t="s">
        <v>439</v>
      </c>
      <c r="V110" s="40">
        <v>45692</v>
      </c>
      <c r="W110" s="41">
        <v>7000000</v>
      </c>
      <c r="X110" s="19"/>
      <c r="Y110" s="34" t="s">
        <v>572</v>
      </c>
      <c r="Z110" s="40">
        <v>45921</v>
      </c>
      <c r="AA110" s="41">
        <v>7000000</v>
      </c>
      <c r="AB110" s="19"/>
      <c r="AC110" s="34">
        <v>534</v>
      </c>
      <c r="AD110" s="40">
        <v>46055</v>
      </c>
      <c r="AE110" s="41">
        <v>5000000</v>
      </c>
      <c r="AG110" s="34"/>
      <c r="AH110" s="40"/>
      <c r="AI110" s="41"/>
      <c r="AK110" s="34"/>
      <c r="AL110" s="40"/>
      <c r="AM110" s="41"/>
      <c r="AO110" s="34"/>
      <c r="AP110" s="40"/>
      <c r="AQ110" s="41"/>
      <c r="AS110" s="34"/>
      <c r="AT110" s="40"/>
      <c r="AU110" s="41"/>
      <c r="AW110" s="34"/>
      <c r="AX110" s="40"/>
      <c r="AY110" s="41"/>
      <c r="BA110" s="34"/>
      <c r="BB110" s="40"/>
      <c r="BC110" s="41"/>
      <c r="BE110" s="34"/>
      <c r="BF110" s="40"/>
      <c r="BG110" s="41"/>
      <c r="BI110" s="34"/>
      <c r="BJ110" s="40"/>
      <c r="BK110" s="41"/>
      <c r="BM110" s="38">
        <f t="shared" si="1"/>
        <v>32000000</v>
      </c>
      <c r="BN110" s="19"/>
    </row>
    <row r="111" spans="1:66" ht="15.75" hidden="1" x14ac:dyDescent="0.25">
      <c r="A111" s="29">
        <v>109</v>
      </c>
      <c r="B111" s="68" t="s">
        <v>421</v>
      </c>
      <c r="C111" s="13" t="s">
        <v>440</v>
      </c>
      <c r="D111" s="18" t="s">
        <v>441</v>
      </c>
      <c r="E111" s="16">
        <v>57</v>
      </c>
      <c r="F111" s="33">
        <v>109</v>
      </c>
      <c r="G111" s="16"/>
      <c r="I111" s="34"/>
      <c r="J111" s="35"/>
      <c r="K111" s="36"/>
      <c r="L111" s="19"/>
      <c r="M111" s="34">
        <v>392</v>
      </c>
      <c r="N111" s="40">
        <v>45866</v>
      </c>
      <c r="O111" s="41">
        <v>6000000</v>
      </c>
      <c r="P111" s="19"/>
      <c r="Q111" s="34">
        <v>392</v>
      </c>
      <c r="R111" s="40">
        <v>45866</v>
      </c>
      <c r="S111" s="41">
        <v>7000000</v>
      </c>
      <c r="T111" s="19"/>
      <c r="U111" s="34">
        <v>392</v>
      </c>
      <c r="V111" s="40">
        <v>45866</v>
      </c>
      <c r="W111" s="41">
        <v>7000000</v>
      </c>
      <c r="X111" s="19"/>
      <c r="Y111" s="34">
        <v>443</v>
      </c>
      <c r="Z111" s="40">
        <v>45950</v>
      </c>
      <c r="AA111" s="41">
        <v>7000000</v>
      </c>
      <c r="AB111" s="19"/>
      <c r="AC111" s="34">
        <v>605</v>
      </c>
      <c r="AD111" s="40">
        <v>46158</v>
      </c>
      <c r="AE111" s="41">
        <v>3000000</v>
      </c>
      <c r="AG111" s="34"/>
      <c r="AH111" s="40"/>
      <c r="AI111" s="41"/>
      <c r="AK111" s="34"/>
      <c r="AL111" s="40"/>
      <c r="AM111" s="41"/>
      <c r="AO111" s="34"/>
      <c r="AP111" s="40"/>
      <c r="AQ111" s="41"/>
      <c r="AS111" s="34"/>
      <c r="AT111" s="40"/>
      <c r="AU111" s="41"/>
      <c r="AW111" s="34"/>
      <c r="AX111" s="40"/>
      <c r="AY111" s="41"/>
      <c r="BA111" s="34"/>
      <c r="BB111" s="40"/>
      <c r="BC111" s="41"/>
      <c r="BE111" s="34"/>
      <c r="BF111" s="40"/>
      <c r="BG111" s="41"/>
      <c r="BI111" s="34"/>
      <c r="BJ111" s="40"/>
      <c r="BK111" s="41"/>
      <c r="BM111" s="38">
        <f t="shared" si="1"/>
        <v>30000000</v>
      </c>
      <c r="BN111" s="19"/>
    </row>
    <row r="112" spans="1:66" ht="15.75" hidden="1" x14ac:dyDescent="0.25">
      <c r="A112" s="29">
        <v>110</v>
      </c>
      <c r="B112" s="68" t="s">
        <v>421</v>
      </c>
      <c r="C112" s="13" t="s">
        <v>77</v>
      </c>
      <c r="D112" s="18" t="s">
        <v>442</v>
      </c>
      <c r="E112" s="16">
        <v>59</v>
      </c>
      <c r="F112" s="33">
        <v>110</v>
      </c>
      <c r="G112" s="16"/>
      <c r="I112" s="34"/>
      <c r="J112" s="35"/>
      <c r="K112" s="36"/>
      <c r="L112" s="19"/>
      <c r="M112" s="34">
        <v>206</v>
      </c>
      <c r="N112" s="40">
        <v>45689</v>
      </c>
      <c r="O112" s="41">
        <v>6000000</v>
      </c>
      <c r="P112" s="19"/>
      <c r="Q112" s="34" t="s">
        <v>443</v>
      </c>
      <c r="R112" s="40">
        <v>45689</v>
      </c>
      <c r="S112" s="41">
        <v>7000000</v>
      </c>
      <c r="T112" s="19"/>
      <c r="U112" s="34" t="s">
        <v>944</v>
      </c>
      <c r="V112" s="40">
        <v>45700</v>
      </c>
      <c r="W112" s="41">
        <v>7000000</v>
      </c>
      <c r="X112" s="19"/>
      <c r="Y112" s="34">
        <v>376</v>
      </c>
      <c r="Z112" s="40">
        <v>45836</v>
      </c>
      <c r="AA112" s="41">
        <v>7000000</v>
      </c>
      <c r="AB112" s="19"/>
      <c r="AC112" s="34">
        <v>518</v>
      </c>
      <c r="AD112" s="40">
        <v>46029</v>
      </c>
      <c r="AE112" s="41">
        <v>6000000</v>
      </c>
      <c r="AG112" s="34">
        <v>639</v>
      </c>
      <c r="AH112" s="40">
        <v>46247</v>
      </c>
      <c r="AI112" s="41">
        <v>3000000</v>
      </c>
      <c r="AK112" s="34"/>
      <c r="AL112" s="40"/>
      <c r="AM112" s="41"/>
      <c r="AO112" s="34"/>
      <c r="AP112" s="40"/>
      <c r="AQ112" s="41"/>
      <c r="AS112" s="34"/>
      <c r="AT112" s="40"/>
      <c r="AU112" s="41"/>
      <c r="AW112" s="34"/>
      <c r="AX112" s="40"/>
      <c r="AY112" s="41"/>
      <c r="BA112" s="34"/>
      <c r="BB112" s="40"/>
      <c r="BC112" s="41"/>
      <c r="BE112" s="34"/>
      <c r="BF112" s="40"/>
      <c r="BG112" s="41"/>
      <c r="BI112" s="34"/>
      <c r="BJ112" s="40"/>
      <c r="BK112" s="41"/>
      <c r="BM112" s="38">
        <f t="shared" si="1"/>
        <v>36000000</v>
      </c>
      <c r="BN112" s="19"/>
    </row>
    <row r="113" spans="1:66" ht="15.75" hidden="1" x14ac:dyDescent="0.25">
      <c r="A113" s="29">
        <v>111</v>
      </c>
      <c r="B113" s="68" t="s">
        <v>421</v>
      </c>
      <c r="C113" s="12" t="s">
        <v>444</v>
      </c>
      <c r="D113" s="5" t="s">
        <v>445</v>
      </c>
      <c r="E113" s="50">
        <v>61</v>
      </c>
      <c r="F113" s="51">
        <v>111</v>
      </c>
      <c r="G113" s="50"/>
      <c r="I113" s="52"/>
      <c r="J113" s="53"/>
      <c r="K113" s="54"/>
      <c r="L113" s="58"/>
      <c r="M113" s="52">
        <v>97</v>
      </c>
      <c r="N113" s="59">
        <v>45623</v>
      </c>
      <c r="O113" s="60">
        <v>6000000</v>
      </c>
      <c r="P113" s="61"/>
      <c r="Q113" s="52">
        <v>188</v>
      </c>
      <c r="R113" s="59">
        <v>45672</v>
      </c>
      <c r="S113" s="60">
        <v>7000000</v>
      </c>
      <c r="T113" s="19"/>
      <c r="U113" s="34">
        <v>274</v>
      </c>
      <c r="V113" s="40">
        <v>45718</v>
      </c>
      <c r="W113" s="41">
        <v>7000000</v>
      </c>
      <c r="X113" s="19"/>
      <c r="Y113" s="34">
        <v>368</v>
      </c>
      <c r="Z113" s="40">
        <v>45823</v>
      </c>
      <c r="AA113" s="41">
        <v>7000000</v>
      </c>
      <c r="AB113" s="19"/>
      <c r="AC113" s="34">
        <v>507</v>
      </c>
      <c r="AD113" s="40">
        <v>46019</v>
      </c>
      <c r="AE113" s="41">
        <v>6000000</v>
      </c>
      <c r="AG113" s="34" t="s">
        <v>1580</v>
      </c>
      <c r="AH113" s="40">
        <v>46159</v>
      </c>
      <c r="AI113" s="41">
        <v>6000000</v>
      </c>
      <c r="AK113" s="34"/>
      <c r="AL113" s="40"/>
      <c r="AM113" s="41"/>
      <c r="AO113" s="34"/>
      <c r="AP113" s="40"/>
      <c r="AQ113" s="41"/>
      <c r="AS113" s="34"/>
      <c r="AT113" s="40"/>
      <c r="AU113" s="41"/>
      <c r="AW113" s="34"/>
      <c r="AX113" s="40"/>
      <c r="AY113" s="41"/>
      <c r="BA113" s="34"/>
      <c r="BB113" s="40"/>
      <c r="BC113" s="41"/>
      <c r="BE113" s="34"/>
      <c r="BF113" s="40"/>
      <c r="BG113" s="41"/>
      <c r="BI113" s="34"/>
      <c r="BJ113" s="40"/>
      <c r="BK113" s="41"/>
      <c r="BM113" s="38">
        <f t="shared" si="1"/>
        <v>39000000</v>
      </c>
      <c r="BN113" s="19"/>
    </row>
    <row r="114" spans="1:66" ht="15.75" hidden="1" x14ac:dyDescent="0.25">
      <c r="A114" s="29">
        <v>112</v>
      </c>
      <c r="B114" s="68" t="s">
        <v>421</v>
      </c>
      <c r="C114" s="12" t="s">
        <v>446</v>
      </c>
      <c r="D114" s="5" t="s">
        <v>447</v>
      </c>
      <c r="E114" s="50">
        <v>63</v>
      </c>
      <c r="F114" s="51">
        <v>112</v>
      </c>
      <c r="G114" s="50"/>
      <c r="I114" s="52"/>
      <c r="J114" s="53"/>
      <c r="K114" s="54"/>
      <c r="L114" s="58"/>
      <c r="M114" s="52">
        <v>98</v>
      </c>
      <c r="N114" s="59">
        <v>45623</v>
      </c>
      <c r="O114" s="60">
        <v>6000000</v>
      </c>
      <c r="P114" s="19"/>
      <c r="Q114" s="34" t="s">
        <v>448</v>
      </c>
      <c r="R114" s="40">
        <v>45711</v>
      </c>
      <c r="S114" s="41">
        <v>7000000</v>
      </c>
      <c r="T114" s="19"/>
      <c r="U114" s="34" t="s">
        <v>449</v>
      </c>
      <c r="V114" s="40">
        <v>45764</v>
      </c>
      <c r="W114" s="41">
        <v>7000000</v>
      </c>
      <c r="X114" s="19"/>
      <c r="Y114" s="34" t="s">
        <v>1482</v>
      </c>
      <c r="Z114" s="40">
        <v>45948</v>
      </c>
      <c r="AA114" s="41">
        <v>7000000</v>
      </c>
      <c r="AB114" s="19"/>
      <c r="AC114" s="34" t="s">
        <v>1483</v>
      </c>
      <c r="AD114" s="40">
        <v>46063</v>
      </c>
      <c r="AE114" s="41">
        <v>6000000</v>
      </c>
      <c r="AG114" s="34"/>
      <c r="AH114" s="40"/>
      <c r="AI114" s="41"/>
      <c r="AK114" s="34"/>
      <c r="AL114" s="40"/>
      <c r="AM114" s="41"/>
      <c r="AO114" s="34"/>
      <c r="AP114" s="40"/>
      <c r="AQ114" s="41"/>
      <c r="AS114" s="34"/>
      <c r="AT114" s="40"/>
      <c r="AU114" s="41"/>
      <c r="AW114" s="34"/>
      <c r="AX114" s="40"/>
      <c r="AY114" s="41"/>
      <c r="BA114" s="34"/>
      <c r="BB114" s="40"/>
      <c r="BC114" s="41"/>
      <c r="BE114" s="34"/>
      <c r="BF114" s="40"/>
      <c r="BG114" s="41"/>
      <c r="BI114" s="34"/>
      <c r="BJ114" s="40"/>
      <c r="BK114" s="41"/>
      <c r="BM114" s="38">
        <f t="shared" si="1"/>
        <v>33000000</v>
      </c>
      <c r="BN114" s="19"/>
    </row>
    <row r="115" spans="1:66" ht="15.75" hidden="1" x14ac:dyDescent="0.25">
      <c r="A115" s="29">
        <v>113</v>
      </c>
      <c r="B115" s="68" t="s">
        <v>421</v>
      </c>
      <c r="C115" s="13" t="s">
        <v>450</v>
      </c>
      <c r="D115" s="18" t="s">
        <v>451</v>
      </c>
      <c r="E115" s="16">
        <v>65</v>
      </c>
      <c r="F115" s="33">
        <v>113</v>
      </c>
      <c r="G115" s="16"/>
      <c r="I115" s="34">
        <v>413</v>
      </c>
      <c r="J115" s="35">
        <v>45904</v>
      </c>
      <c r="K115" s="70">
        <v>8000000</v>
      </c>
      <c r="L115" s="19"/>
      <c r="M115" s="34">
        <v>413</v>
      </c>
      <c r="N115" s="40">
        <v>45904</v>
      </c>
      <c r="O115" s="41">
        <v>6000000</v>
      </c>
      <c r="P115" s="19"/>
      <c r="Q115" s="34">
        <v>413</v>
      </c>
      <c r="R115" s="40">
        <v>45904</v>
      </c>
      <c r="S115" s="41">
        <v>7000000</v>
      </c>
      <c r="T115" s="19"/>
      <c r="U115" s="34">
        <v>413</v>
      </c>
      <c r="V115" s="40">
        <v>45904</v>
      </c>
      <c r="W115" s="41">
        <v>7000000</v>
      </c>
      <c r="X115" s="19"/>
      <c r="Y115" s="34" t="s">
        <v>452</v>
      </c>
      <c r="Z115" s="40">
        <v>45904</v>
      </c>
      <c r="AA115" s="41">
        <v>7000000</v>
      </c>
      <c r="AB115" s="19"/>
      <c r="AC115" s="34">
        <v>414</v>
      </c>
      <c r="AD115" s="40">
        <v>45907</v>
      </c>
      <c r="AE115" s="41">
        <v>6000000</v>
      </c>
      <c r="AG115" s="34">
        <v>414</v>
      </c>
      <c r="AH115" s="40">
        <v>45907</v>
      </c>
      <c r="AI115" s="41">
        <v>7000000</v>
      </c>
      <c r="AK115" s="34">
        <v>414</v>
      </c>
      <c r="AL115" s="40">
        <v>45907</v>
      </c>
      <c r="AM115" s="41">
        <v>7000000</v>
      </c>
      <c r="AO115" s="34">
        <v>414</v>
      </c>
      <c r="AP115" s="40">
        <v>45907</v>
      </c>
      <c r="AQ115" s="41">
        <v>5000000</v>
      </c>
      <c r="AS115" s="34"/>
      <c r="AT115" s="40"/>
      <c r="AU115" s="41"/>
      <c r="AW115" s="34"/>
      <c r="AX115" s="40"/>
      <c r="AY115" s="41"/>
      <c r="BA115" s="34"/>
      <c r="BB115" s="40"/>
      <c r="BC115" s="41"/>
      <c r="BE115" s="34"/>
      <c r="BF115" s="40"/>
      <c r="BG115" s="41"/>
      <c r="BI115" s="34"/>
      <c r="BJ115" s="40"/>
      <c r="BK115" s="41"/>
      <c r="BM115" s="38">
        <f t="shared" si="1"/>
        <v>60000000</v>
      </c>
      <c r="BN115" s="19"/>
    </row>
    <row r="116" spans="1:66" ht="15.75" hidden="1" x14ac:dyDescent="0.25">
      <c r="A116" s="29">
        <v>114</v>
      </c>
      <c r="B116" s="68" t="s">
        <v>421</v>
      </c>
      <c r="C116" s="12" t="s">
        <v>453</v>
      </c>
      <c r="D116" s="5" t="s">
        <v>454</v>
      </c>
      <c r="E116" s="50">
        <v>69</v>
      </c>
      <c r="F116" s="51">
        <v>114</v>
      </c>
      <c r="G116" s="50"/>
      <c r="I116" s="52"/>
      <c r="J116" s="53"/>
      <c r="K116" s="54"/>
      <c r="L116" s="58"/>
      <c r="M116" s="52">
        <v>72</v>
      </c>
      <c r="N116" s="59">
        <v>45609</v>
      </c>
      <c r="O116" s="60">
        <v>6000000</v>
      </c>
      <c r="P116" s="19"/>
      <c r="Q116" s="34">
        <v>139</v>
      </c>
      <c r="R116" s="40">
        <v>45643</v>
      </c>
      <c r="S116" s="41">
        <v>7000000</v>
      </c>
      <c r="T116" s="19"/>
      <c r="U116" s="34">
        <v>180</v>
      </c>
      <c r="V116" s="40">
        <v>45666</v>
      </c>
      <c r="W116" s="41">
        <v>7000000</v>
      </c>
      <c r="X116" s="19"/>
      <c r="Y116" s="34">
        <v>354</v>
      </c>
      <c r="Z116" s="40">
        <v>45806</v>
      </c>
      <c r="AA116" s="41">
        <v>7000000</v>
      </c>
      <c r="AB116" s="19"/>
      <c r="AC116" s="34" t="s">
        <v>1529</v>
      </c>
      <c r="AD116" s="40">
        <v>45806</v>
      </c>
      <c r="AE116" s="41">
        <v>6000000</v>
      </c>
      <c r="AG116" s="34"/>
      <c r="AH116" s="40"/>
      <c r="AI116" s="41"/>
      <c r="AK116" s="34"/>
      <c r="AL116" s="40"/>
      <c r="AM116" s="41"/>
      <c r="AO116" s="34"/>
      <c r="AP116" s="40"/>
      <c r="AQ116" s="41"/>
      <c r="AS116" s="34"/>
      <c r="AT116" s="40"/>
      <c r="AU116" s="41"/>
      <c r="AW116" s="34"/>
      <c r="AX116" s="40"/>
      <c r="AY116" s="41"/>
      <c r="BA116" s="34"/>
      <c r="BB116" s="40"/>
      <c r="BC116" s="41"/>
      <c r="BE116" s="34"/>
      <c r="BF116" s="40"/>
      <c r="BG116" s="41"/>
      <c r="BI116" s="34"/>
      <c r="BJ116" s="40"/>
      <c r="BK116" s="41"/>
      <c r="BM116" s="38">
        <f t="shared" si="1"/>
        <v>33000000</v>
      </c>
      <c r="BN116" s="19"/>
    </row>
    <row r="117" spans="1:66" ht="15.75" hidden="1" x14ac:dyDescent="0.25">
      <c r="A117" s="29">
        <v>115</v>
      </c>
      <c r="B117" s="68" t="s">
        <v>421</v>
      </c>
      <c r="C117" s="13" t="s">
        <v>455</v>
      </c>
      <c r="D117" s="18" t="s">
        <v>456</v>
      </c>
      <c r="E117" s="16">
        <v>85</v>
      </c>
      <c r="F117" s="33">
        <v>115</v>
      </c>
      <c r="G117" s="16"/>
      <c r="I117" s="34"/>
      <c r="J117" s="35"/>
      <c r="K117" s="36"/>
      <c r="L117" s="19"/>
      <c r="M117" s="34">
        <v>135</v>
      </c>
      <c r="N117" s="40">
        <v>45641</v>
      </c>
      <c r="O117" s="41">
        <v>6000000</v>
      </c>
      <c r="P117" s="19"/>
      <c r="Q117" s="34">
        <v>202</v>
      </c>
      <c r="R117" s="40">
        <v>45684</v>
      </c>
      <c r="S117" s="41">
        <v>7000000</v>
      </c>
      <c r="T117" s="19"/>
      <c r="U117" s="34">
        <v>381</v>
      </c>
      <c r="V117" s="40">
        <v>45845</v>
      </c>
      <c r="W117" s="41">
        <v>7000000</v>
      </c>
      <c r="X117" s="19"/>
      <c r="Y117" s="34" t="s">
        <v>876</v>
      </c>
      <c r="Z117" s="40">
        <v>45950</v>
      </c>
      <c r="AA117" s="41">
        <v>7000000</v>
      </c>
      <c r="AB117" s="19"/>
      <c r="AC117" s="34"/>
      <c r="AD117" s="40"/>
      <c r="AE117" s="41"/>
      <c r="AG117" s="34"/>
      <c r="AH117" s="40"/>
      <c r="AI117" s="41"/>
      <c r="AK117" s="34"/>
      <c r="AL117" s="40"/>
      <c r="AM117" s="41"/>
      <c r="AO117" s="34"/>
      <c r="AP117" s="40"/>
      <c r="AQ117" s="41"/>
      <c r="AS117" s="34"/>
      <c r="AT117" s="40"/>
      <c r="AU117" s="41"/>
      <c r="AW117" s="34"/>
      <c r="AX117" s="40"/>
      <c r="AY117" s="41"/>
      <c r="BA117" s="34"/>
      <c r="BB117" s="40"/>
      <c r="BC117" s="41"/>
      <c r="BE117" s="34"/>
      <c r="BF117" s="40"/>
      <c r="BG117" s="41"/>
      <c r="BI117" s="34"/>
      <c r="BJ117" s="40"/>
      <c r="BK117" s="41"/>
      <c r="BM117" s="38">
        <f t="shared" si="1"/>
        <v>27000000</v>
      </c>
      <c r="BN117" s="19"/>
    </row>
    <row r="118" spans="1:66" ht="15.75" hidden="1" x14ac:dyDescent="0.25">
      <c r="A118" s="29">
        <v>116</v>
      </c>
      <c r="B118" s="68" t="s">
        <v>421</v>
      </c>
      <c r="C118" s="12" t="s">
        <v>457</v>
      </c>
      <c r="D118" s="5" t="s">
        <v>458</v>
      </c>
      <c r="E118" s="50">
        <v>87</v>
      </c>
      <c r="F118" s="51">
        <v>116</v>
      </c>
      <c r="G118" s="50"/>
      <c r="I118" s="52"/>
      <c r="J118" s="53"/>
      <c r="K118" s="36"/>
      <c r="L118" s="58"/>
      <c r="M118" s="52">
        <v>5</v>
      </c>
      <c r="N118" s="59">
        <v>45580</v>
      </c>
      <c r="O118" s="60">
        <v>6000000</v>
      </c>
      <c r="P118" s="58"/>
      <c r="Q118" s="52">
        <v>33</v>
      </c>
      <c r="R118" s="59">
        <v>45595</v>
      </c>
      <c r="S118" s="60">
        <v>7000000</v>
      </c>
      <c r="T118" s="19"/>
      <c r="U118" s="34">
        <v>181</v>
      </c>
      <c r="V118" s="40">
        <v>45665</v>
      </c>
      <c r="W118" s="41">
        <v>7000000</v>
      </c>
      <c r="X118" s="19"/>
      <c r="Y118" s="34"/>
      <c r="Z118" s="40"/>
      <c r="AA118" s="41"/>
      <c r="AB118" s="19"/>
      <c r="AC118" s="34"/>
      <c r="AD118" s="40"/>
      <c r="AE118" s="41"/>
      <c r="AG118" s="34"/>
      <c r="AH118" s="40"/>
      <c r="AI118" s="41"/>
      <c r="AK118" s="34"/>
      <c r="AL118" s="40"/>
      <c r="AM118" s="41"/>
      <c r="AO118" s="34"/>
      <c r="AP118" s="40"/>
      <c r="AQ118" s="41"/>
      <c r="AS118" s="34"/>
      <c r="AT118" s="40"/>
      <c r="AU118" s="41"/>
      <c r="AW118" s="34"/>
      <c r="AX118" s="40"/>
      <c r="AY118" s="41"/>
      <c r="BA118" s="34"/>
      <c r="BB118" s="40"/>
      <c r="BC118" s="41"/>
      <c r="BE118" s="34"/>
      <c r="BF118" s="40"/>
      <c r="BG118" s="41"/>
      <c r="BI118" s="34"/>
      <c r="BJ118" s="40"/>
      <c r="BK118" s="41"/>
      <c r="BM118" s="38">
        <f t="shared" si="1"/>
        <v>20000000</v>
      </c>
      <c r="BN118" s="19"/>
    </row>
    <row r="119" spans="1:66" ht="15.75" hidden="1" x14ac:dyDescent="0.25">
      <c r="A119" s="29">
        <v>117</v>
      </c>
      <c r="B119" s="68" t="s">
        <v>421</v>
      </c>
      <c r="C119" s="13" t="s">
        <v>312</v>
      </c>
      <c r="D119" s="18" t="s">
        <v>459</v>
      </c>
      <c r="E119" s="16">
        <v>89</v>
      </c>
      <c r="F119" s="33">
        <v>117</v>
      </c>
      <c r="G119" s="56" t="s">
        <v>265</v>
      </c>
      <c r="I119" s="34">
        <v>365</v>
      </c>
      <c r="J119" s="35">
        <v>45812</v>
      </c>
      <c r="K119" s="36" t="s">
        <v>265</v>
      </c>
      <c r="L119" s="19"/>
      <c r="M119" s="34"/>
      <c r="N119" s="40"/>
      <c r="O119" s="41"/>
      <c r="P119" s="19"/>
      <c r="Q119" s="34"/>
      <c r="R119" s="40"/>
      <c r="S119" s="41"/>
      <c r="T119" s="19"/>
      <c r="U119" s="34"/>
      <c r="V119" s="40"/>
      <c r="W119" s="41"/>
      <c r="X119" s="19"/>
      <c r="Y119" s="34"/>
      <c r="Z119" s="40"/>
      <c r="AA119" s="41"/>
      <c r="AB119" s="19"/>
      <c r="AC119" s="34"/>
      <c r="AD119" s="40"/>
      <c r="AE119" s="41"/>
      <c r="AG119" s="34"/>
      <c r="AH119" s="40"/>
      <c r="AI119" s="41"/>
      <c r="AK119" s="34"/>
      <c r="AL119" s="40"/>
      <c r="AM119" s="41"/>
      <c r="AO119" s="34"/>
      <c r="AP119" s="40"/>
      <c r="AQ119" s="41"/>
      <c r="AS119" s="34"/>
      <c r="AT119" s="40"/>
      <c r="AU119" s="41"/>
      <c r="AW119" s="34"/>
      <c r="AX119" s="40"/>
      <c r="AY119" s="41"/>
      <c r="BA119" s="34"/>
      <c r="BB119" s="40"/>
      <c r="BC119" s="41"/>
      <c r="BE119" s="34"/>
      <c r="BF119" s="40"/>
      <c r="BG119" s="41"/>
      <c r="BI119" s="34"/>
      <c r="BJ119" s="40"/>
      <c r="BK119" s="41"/>
      <c r="BM119" s="38">
        <f t="shared" si="1"/>
        <v>0</v>
      </c>
      <c r="BN119" s="19"/>
    </row>
    <row r="120" spans="1:66" ht="15.75" hidden="1" x14ac:dyDescent="0.25">
      <c r="A120" s="29">
        <v>118</v>
      </c>
      <c r="B120" s="68" t="s">
        <v>421</v>
      </c>
      <c r="C120" s="12" t="s">
        <v>460</v>
      </c>
      <c r="D120" s="5" t="s">
        <v>461</v>
      </c>
      <c r="E120" s="50">
        <v>91</v>
      </c>
      <c r="F120" s="51">
        <v>118</v>
      </c>
      <c r="G120" s="50"/>
      <c r="I120" s="52"/>
      <c r="J120" s="53"/>
      <c r="K120" s="54"/>
      <c r="L120" s="58"/>
      <c r="M120" s="52">
        <v>29</v>
      </c>
      <c r="N120" s="59">
        <v>45595</v>
      </c>
      <c r="O120" s="60">
        <v>6000000</v>
      </c>
      <c r="P120" s="58"/>
      <c r="Q120" s="52">
        <v>101</v>
      </c>
      <c r="R120" s="59">
        <v>45626</v>
      </c>
      <c r="S120" s="60">
        <v>7000000</v>
      </c>
      <c r="T120" s="19"/>
      <c r="U120" s="34" t="s">
        <v>462</v>
      </c>
      <c r="V120" s="40">
        <v>45670</v>
      </c>
      <c r="W120" s="41">
        <v>7000000</v>
      </c>
      <c r="X120" s="19"/>
      <c r="Y120" s="34" t="s">
        <v>768</v>
      </c>
      <c r="Z120" s="40">
        <v>45979</v>
      </c>
      <c r="AA120" s="41">
        <v>7000000</v>
      </c>
      <c r="AB120" s="19"/>
      <c r="AC120" s="34"/>
      <c r="AD120" s="40"/>
      <c r="AE120" s="41"/>
      <c r="AG120" s="34"/>
      <c r="AH120" s="40"/>
      <c r="AI120" s="41"/>
      <c r="AK120" s="34"/>
      <c r="AL120" s="40"/>
      <c r="AM120" s="41"/>
      <c r="AO120" s="34"/>
      <c r="AP120" s="40"/>
      <c r="AQ120" s="41"/>
      <c r="AS120" s="34"/>
      <c r="AT120" s="40"/>
      <c r="AU120" s="41"/>
      <c r="AW120" s="34"/>
      <c r="AX120" s="40"/>
      <c r="AY120" s="41"/>
      <c r="BA120" s="34"/>
      <c r="BB120" s="40"/>
      <c r="BC120" s="41"/>
      <c r="BE120" s="34"/>
      <c r="BF120" s="40"/>
      <c r="BG120" s="41"/>
      <c r="BI120" s="34"/>
      <c r="BJ120" s="40"/>
      <c r="BK120" s="41"/>
      <c r="BM120" s="38">
        <f t="shared" si="1"/>
        <v>27000000</v>
      </c>
      <c r="BN120" s="19"/>
    </row>
    <row r="121" spans="1:66" ht="15.75" hidden="1" x14ac:dyDescent="0.25">
      <c r="A121" s="29">
        <v>119</v>
      </c>
      <c r="B121" s="68" t="s">
        <v>421</v>
      </c>
      <c r="C121" s="13" t="s">
        <v>463</v>
      </c>
      <c r="D121" s="18" t="s">
        <v>464</v>
      </c>
      <c r="E121" s="16">
        <v>93</v>
      </c>
      <c r="F121" s="33">
        <v>119</v>
      </c>
      <c r="G121" s="16"/>
      <c r="I121" s="34"/>
      <c r="J121" s="35"/>
      <c r="K121" s="36"/>
      <c r="L121" s="19"/>
      <c r="M121" s="34">
        <v>12</v>
      </c>
      <c r="N121" s="40">
        <v>45591</v>
      </c>
      <c r="O121" s="41">
        <v>6000000</v>
      </c>
      <c r="P121" s="19"/>
      <c r="Q121" s="34">
        <v>13</v>
      </c>
      <c r="R121" s="40">
        <v>45591</v>
      </c>
      <c r="S121" s="41">
        <v>7000000</v>
      </c>
      <c r="T121" s="19"/>
      <c r="U121" s="34">
        <v>245</v>
      </c>
      <c r="V121" s="40">
        <v>45705</v>
      </c>
      <c r="W121" s="41">
        <v>7000000</v>
      </c>
      <c r="X121" s="19"/>
      <c r="Y121" s="34" t="s">
        <v>1564</v>
      </c>
      <c r="Z121" s="40">
        <v>46124</v>
      </c>
      <c r="AA121" s="41">
        <v>7000000</v>
      </c>
      <c r="AB121" s="19"/>
      <c r="AC121" s="34"/>
      <c r="AD121" s="40"/>
      <c r="AE121" s="41"/>
      <c r="AG121" s="34"/>
      <c r="AH121" s="40"/>
      <c r="AI121" s="41"/>
      <c r="AK121" s="34"/>
      <c r="AL121" s="40"/>
      <c r="AM121" s="41"/>
      <c r="AO121" s="34"/>
      <c r="AP121" s="40"/>
      <c r="AQ121" s="41"/>
      <c r="AS121" s="34"/>
      <c r="AT121" s="40"/>
      <c r="AU121" s="41"/>
      <c r="AW121" s="34"/>
      <c r="AX121" s="40"/>
      <c r="AY121" s="41"/>
      <c r="BA121" s="34"/>
      <c r="BB121" s="40"/>
      <c r="BC121" s="41"/>
      <c r="BE121" s="34"/>
      <c r="BF121" s="40"/>
      <c r="BG121" s="41"/>
      <c r="BI121" s="34"/>
      <c r="BJ121" s="40"/>
      <c r="BK121" s="41"/>
      <c r="BM121" s="38">
        <f t="shared" si="1"/>
        <v>27000000</v>
      </c>
      <c r="BN121" s="19"/>
    </row>
    <row r="122" spans="1:66" ht="15.75" hidden="1" x14ac:dyDescent="0.25">
      <c r="A122" s="29">
        <v>120</v>
      </c>
      <c r="B122" s="68" t="s">
        <v>421</v>
      </c>
      <c r="C122" s="13" t="s">
        <v>310</v>
      </c>
      <c r="D122" s="18" t="s">
        <v>465</v>
      </c>
      <c r="E122" s="16">
        <v>50</v>
      </c>
      <c r="F122" s="33">
        <v>120</v>
      </c>
      <c r="G122" s="56" t="s">
        <v>265</v>
      </c>
      <c r="I122" s="34">
        <v>364</v>
      </c>
      <c r="J122" s="35">
        <v>45812</v>
      </c>
      <c r="K122" s="36" t="s">
        <v>265</v>
      </c>
      <c r="L122" s="19"/>
      <c r="M122" s="34"/>
      <c r="N122" s="40"/>
      <c r="O122" s="41"/>
      <c r="P122" s="19"/>
      <c r="Q122" s="34"/>
      <c r="R122" s="40"/>
      <c r="S122" s="41"/>
      <c r="T122" s="19"/>
      <c r="U122" s="34"/>
      <c r="V122" s="40"/>
      <c r="W122" s="41"/>
      <c r="X122" s="19"/>
      <c r="Y122" s="34"/>
      <c r="Z122" s="40"/>
      <c r="AA122" s="41"/>
      <c r="AB122" s="19"/>
      <c r="AC122" s="34"/>
      <c r="AD122" s="40"/>
      <c r="AE122" s="41"/>
      <c r="AG122" s="34"/>
      <c r="AH122" s="40"/>
      <c r="AI122" s="41"/>
      <c r="AK122" s="34"/>
      <c r="AL122" s="40"/>
      <c r="AM122" s="41"/>
      <c r="AO122" s="34"/>
      <c r="AP122" s="40"/>
      <c r="AQ122" s="41"/>
      <c r="AS122" s="34"/>
      <c r="AT122" s="40"/>
      <c r="AU122" s="41"/>
      <c r="AW122" s="34"/>
      <c r="AX122" s="40"/>
      <c r="AY122" s="41"/>
      <c r="BA122" s="34"/>
      <c r="BB122" s="40"/>
      <c r="BC122" s="41"/>
      <c r="BE122" s="34"/>
      <c r="BF122" s="40"/>
      <c r="BG122" s="41"/>
      <c r="BI122" s="34"/>
      <c r="BJ122" s="40"/>
      <c r="BK122" s="41"/>
      <c r="BM122" s="38">
        <f t="shared" si="1"/>
        <v>0</v>
      </c>
      <c r="BN122" s="19"/>
    </row>
    <row r="123" spans="1:66" ht="15.75" hidden="1" x14ac:dyDescent="0.25">
      <c r="A123" s="29">
        <v>121</v>
      </c>
      <c r="B123" s="68" t="s">
        <v>421</v>
      </c>
      <c r="C123" s="12" t="s">
        <v>466</v>
      </c>
      <c r="D123" s="5" t="s">
        <v>467</v>
      </c>
      <c r="E123" s="50">
        <v>52</v>
      </c>
      <c r="F123" s="51">
        <v>121</v>
      </c>
      <c r="G123" s="50"/>
      <c r="I123" s="52"/>
      <c r="J123" s="53"/>
      <c r="K123" s="54"/>
      <c r="L123" s="58"/>
      <c r="M123" s="52">
        <v>28</v>
      </c>
      <c r="N123" s="59">
        <v>45594</v>
      </c>
      <c r="O123" s="60">
        <v>6000000</v>
      </c>
      <c r="P123" s="58"/>
      <c r="Q123" s="52">
        <v>86</v>
      </c>
      <c r="R123" s="59">
        <v>45620</v>
      </c>
      <c r="S123" s="60">
        <v>7000000</v>
      </c>
      <c r="T123" s="19"/>
      <c r="U123" s="34" t="s">
        <v>468</v>
      </c>
      <c r="V123" s="40">
        <v>45701</v>
      </c>
      <c r="W123" s="41">
        <v>7000000</v>
      </c>
      <c r="X123" s="19"/>
      <c r="Y123" s="34">
        <v>482</v>
      </c>
      <c r="Z123" s="40">
        <v>45991</v>
      </c>
      <c r="AA123" s="41">
        <v>7000000</v>
      </c>
      <c r="AB123" s="19"/>
      <c r="AC123" s="34"/>
      <c r="AD123" s="40"/>
      <c r="AE123" s="41"/>
      <c r="AG123" s="34"/>
      <c r="AH123" s="40"/>
      <c r="AI123" s="41"/>
      <c r="AK123" s="34"/>
      <c r="AL123" s="40"/>
      <c r="AM123" s="41"/>
      <c r="AO123" s="34"/>
      <c r="AP123" s="40"/>
      <c r="AQ123" s="41"/>
      <c r="AS123" s="34"/>
      <c r="AT123" s="40"/>
      <c r="AU123" s="41"/>
      <c r="AW123" s="34"/>
      <c r="AX123" s="40"/>
      <c r="AY123" s="41"/>
      <c r="BA123" s="34"/>
      <c r="BB123" s="40"/>
      <c r="BC123" s="41"/>
      <c r="BE123" s="34"/>
      <c r="BF123" s="40"/>
      <c r="BG123" s="41"/>
      <c r="BI123" s="34"/>
      <c r="BJ123" s="40"/>
      <c r="BK123" s="41"/>
      <c r="BM123" s="38">
        <f t="shared" si="1"/>
        <v>27000000</v>
      </c>
      <c r="BN123" s="19"/>
    </row>
    <row r="124" spans="1:66" ht="15.75" hidden="1" x14ac:dyDescent="0.25">
      <c r="A124" s="29">
        <v>122</v>
      </c>
      <c r="B124" s="68" t="s">
        <v>421</v>
      </c>
      <c r="C124" s="13" t="s">
        <v>469</v>
      </c>
      <c r="D124" s="18" t="s">
        <v>470</v>
      </c>
      <c r="E124" s="16">
        <v>54</v>
      </c>
      <c r="F124" s="33">
        <v>122</v>
      </c>
      <c r="G124" s="16"/>
      <c r="I124" s="34"/>
      <c r="J124" s="35"/>
      <c r="K124" s="36"/>
      <c r="L124" s="19"/>
      <c r="M124" s="34">
        <v>177</v>
      </c>
      <c r="N124" s="40">
        <v>45663</v>
      </c>
      <c r="O124" s="41">
        <v>6000000</v>
      </c>
      <c r="P124" s="19"/>
      <c r="Q124" s="34">
        <v>176</v>
      </c>
      <c r="R124" s="40">
        <v>45663</v>
      </c>
      <c r="S124" s="41">
        <v>7000000</v>
      </c>
      <c r="T124" s="19"/>
      <c r="U124" s="34"/>
      <c r="V124" s="40"/>
      <c r="W124" s="41"/>
      <c r="X124" s="19"/>
      <c r="Y124" s="34"/>
      <c r="Z124" s="40"/>
      <c r="AA124" s="41"/>
      <c r="AB124" s="19"/>
      <c r="AC124" s="34"/>
      <c r="AD124" s="40"/>
      <c r="AE124" s="41"/>
      <c r="AG124" s="34"/>
      <c r="AH124" s="40"/>
      <c r="AI124" s="41"/>
      <c r="AK124" s="34"/>
      <c r="AL124" s="40"/>
      <c r="AM124" s="41"/>
      <c r="AO124" s="34"/>
      <c r="AP124" s="40"/>
      <c r="AQ124" s="41"/>
      <c r="AS124" s="34"/>
      <c r="AT124" s="40"/>
      <c r="AU124" s="41"/>
      <c r="AW124" s="34"/>
      <c r="AX124" s="40"/>
      <c r="AY124" s="41"/>
      <c r="BA124" s="34"/>
      <c r="BB124" s="40"/>
      <c r="BC124" s="41"/>
      <c r="BE124" s="34"/>
      <c r="BF124" s="40"/>
      <c r="BG124" s="41"/>
      <c r="BI124" s="34"/>
      <c r="BJ124" s="40"/>
      <c r="BK124" s="41"/>
      <c r="BM124" s="38">
        <f t="shared" si="1"/>
        <v>13000000</v>
      </c>
      <c r="BN124" s="19"/>
    </row>
    <row r="125" spans="1:66" ht="15.75" hidden="1" x14ac:dyDescent="0.25">
      <c r="A125" s="29">
        <v>123</v>
      </c>
      <c r="B125" s="68" t="s">
        <v>421</v>
      </c>
      <c r="C125" s="12" t="s">
        <v>471</v>
      </c>
      <c r="D125" s="5" t="s">
        <v>472</v>
      </c>
      <c r="E125" s="50">
        <v>58</v>
      </c>
      <c r="F125" s="51">
        <v>123</v>
      </c>
      <c r="G125" s="50"/>
      <c r="I125" s="52"/>
      <c r="J125" s="53"/>
      <c r="K125" s="36"/>
      <c r="L125" s="58"/>
      <c r="M125" s="52">
        <v>42</v>
      </c>
      <c r="N125" s="59">
        <v>45600</v>
      </c>
      <c r="O125" s="60">
        <v>6000000</v>
      </c>
      <c r="P125" s="58"/>
      <c r="Q125" s="52" t="s">
        <v>473</v>
      </c>
      <c r="R125" s="59">
        <v>45600</v>
      </c>
      <c r="S125" s="60">
        <v>7000000</v>
      </c>
      <c r="T125" s="19"/>
      <c r="U125" s="34">
        <v>192</v>
      </c>
      <c r="V125" s="40">
        <v>45678</v>
      </c>
      <c r="W125" s="41">
        <v>7000000</v>
      </c>
      <c r="X125" s="19"/>
      <c r="Y125" s="34" t="s">
        <v>1506</v>
      </c>
      <c r="Z125" s="40">
        <v>45941</v>
      </c>
      <c r="AA125" s="41">
        <v>7000000</v>
      </c>
      <c r="AB125" s="19"/>
      <c r="AC125" s="34"/>
      <c r="AD125" s="40"/>
      <c r="AE125" s="41"/>
      <c r="AG125" s="34"/>
      <c r="AH125" s="40"/>
      <c r="AI125" s="41"/>
      <c r="AK125" s="34"/>
      <c r="AL125" s="40"/>
      <c r="AM125" s="41"/>
      <c r="AO125" s="34"/>
      <c r="AP125" s="40"/>
      <c r="AQ125" s="41"/>
      <c r="AS125" s="34"/>
      <c r="AT125" s="40"/>
      <c r="AU125" s="41"/>
      <c r="AW125" s="34"/>
      <c r="AX125" s="40"/>
      <c r="AY125" s="41"/>
      <c r="BA125" s="34"/>
      <c r="BB125" s="40"/>
      <c r="BC125" s="41"/>
      <c r="BE125" s="34"/>
      <c r="BF125" s="40"/>
      <c r="BG125" s="41"/>
      <c r="BI125" s="34"/>
      <c r="BJ125" s="40"/>
      <c r="BK125" s="41"/>
      <c r="BM125" s="38">
        <f t="shared" si="1"/>
        <v>27000000</v>
      </c>
      <c r="BN125" s="19"/>
    </row>
    <row r="126" spans="1:66" ht="15.75" hidden="1" x14ac:dyDescent="0.25">
      <c r="A126" s="29">
        <v>124</v>
      </c>
      <c r="B126" s="68" t="s">
        <v>421</v>
      </c>
      <c r="C126" s="13" t="s">
        <v>474</v>
      </c>
      <c r="D126" s="18" t="s">
        <v>475</v>
      </c>
      <c r="E126" s="16">
        <v>60</v>
      </c>
      <c r="F126" s="33">
        <v>124</v>
      </c>
      <c r="G126" s="56" t="s">
        <v>347</v>
      </c>
      <c r="I126" s="34">
        <v>500</v>
      </c>
      <c r="J126" s="59">
        <v>45647</v>
      </c>
      <c r="K126" s="36">
        <v>135000000</v>
      </c>
      <c r="L126" s="19"/>
      <c r="M126" s="34"/>
      <c r="N126" s="40"/>
      <c r="O126" s="41"/>
      <c r="P126" s="19"/>
      <c r="Q126" s="34"/>
      <c r="R126" s="40"/>
      <c r="S126" s="41"/>
      <c r="T126" s="19"/>
      <c r="U126" s="34"/>
      <c r="V126" s="40"/>
      <c r="W126" s="41"/>
      <c r="X126" s="19"/>
      <c r="Y126" s="34"/>
      <c r="Z126" s="40"/>
      <c r="AA126" s="41"/>
      <c r="AB126" s="19"/>
      <c r="AC126" s="34"/>
      <c r="AD126" s="40"/>
      <c r="AE126" s="41"/>
      <c r="AG126" s="34"/>
      <c r="AH126" s="40"/>
      <c r="AI126" s="41"/>
      <c r="AK126" s="34"/>
      <c r="AL126" s="40"/>
      <c r="AM126" s="41"/>
      <c r="AO126" s="34"/>
      <c r="AP126" s="40"/>
      <c r="AQ126" s="41"/>
      <c r="AS126" s="34"/>
      <c r="AT126" s="40"/>
      <c r="AU126" s="41"/>
      <c r="AW126" s="34"/>
      <c r="AX126" s="40"/>
      <c r="AY126" s="41"/>
      <c r="BA126" s="34"/>
      <c r="BB126" s="40"/>
      <c r="BC126" s="41"/>
      <c r="BE126" s="34"/>
      <c r="BF126" s="40"/>
      <c r="BG126" s="41"/>
      <c r="BI126" s="34"/>
      <c r="BJ126" s="40"/>
      <c r="BK126" s="41"/>
      <c r="BM126" s="38">
        <f t="shared" si="1"/>
        <v>135000000</v>
      </c>
      <c r="BN126" s="19"/>
    </row>
    <row r="127" spans="1:66" ht="15.75" hidden="1" x14ac:dyDescent="0.25">
      <c r="A127" s="29">
        <v>125</v>
      </c>
      <c r="B127" s="68" t="s">
        <v>421</v>
      </c>
      <c r="C127" s="12" t="s">
        <v>80</v>
      </c>
      <c r="D127" s="5" t="s">
        <v>476</v>
      </c>
      <c r="E127" s="50">
        <v>64</v>
      </c>
      <c r="F127" s="51">
        <v>125</v>
      </c>
      <c r="G127" s="50"/>
      <c r="I127" s="52"/>
      <c r="J127" s="53"/>
      <c r="K127" s="54"/>
      <c r="L127" s="58"/>
      <c r="M127" s="52">
        <v>76</v>
      </c>
      <c r="N127" s="59">
        <v>45614</v>
      </c>
      <c r="O127" s="60">
        <v>6000000</v>
      </c>
      <c r="P127" s="58"/>
      <c r="Q127" s="52">
        <v>77</v>
      </c>
      <c r="R127" s="59">
        <v>45614</v>
      </c>
      <c r="S127" s="60">
        <v>7000000</v>
      </c>
      <c r="T127" s="19"/>
      <c r="U127" s="34">
        <v>184</v>
      </c>
      <c r="V127" s="40">
        <v>45669</v>
      </c>
      <c r="W127" s="41">
        <v>7000000</v>
      </c>
      <c r="X127" s="19"/>
      <c r="Y127" s="34">
        <v>519</v>
      </c>
      <c r="Z127" s="40">
        <v>46029</v>
      </c>
      <c r="AA127" s="41">
        <v>7000000</v>
      </c>
      <c r="AB127" s="19"/>
      <c r="AC127" s="34">
        <v>572</v>
      </c>
      <c r="AD127" s="40">
        <v>46109</v>
      </c>
      <c r="AE127" s="41">
        <v>6000000</v>
      </c>
      <c r="AG127" s="34"/>
      <c r="AH127" s="40"/>
      <c r="AI127" s="41"/>
      <c r="AK127" s="34"/>
      <c r="AL127" s="40"/>
      <c r="AM127" s="41"/>
      <c r="AO127" s="34"/>
      <c r="AP127" s="40"/>
      <c r="AQ127" s="41"/>
      <c r="AS127" s="34"/>
      <c r="AT127" s="40"/>
      <c r="AU127" s="41"/>
      <c r="AW127" s="34"/>
      <c r="AX127" s="40"/>
      <c r="AY127" s="41"/>
      <c r="BA127" s="34"/>
      <c r="BB127" s="40"/>
      <c r="BC127" s="41"/>
      <c r="BE127" s="34"/>
      <c r="BF127" s="40"/>
      <c r="BG127" s="41"/>
      <c r="BI127" s="34"/>
      <c r="BJ127" s="40"/>
      <c r="BK127" s="41"/>
      <c r="BM127" s="38">
        <f t="shared" si="1"/>
        <v>33000000</v>
      </c>
      <c r="BN127" s="19"/>
    </row>
    <row r="128" spans="1:66" ht="15.75" hidden="1" x14ac:dyDescent="0.25">
      <c r="A128" s="29">
        <v>126</v>
      </c>
      <c r="B128" s="68" t="s">
        <v>421</v>
      </c>
      <c r="C128" s="13" t="s">
        <v>477</v>
      </c>
      <c r="D128" s="18" t="s">
        <v>478</v>
      </c>
      <c r="E128" s="16">
        <v>66</v>
      </c>
      <c r="F128" s="33">
        <v>126</v>
      </c>
      <c r="G128" s="16"/>
      <c r="I128" s="34"/>
      <c r="J128" s="35"/>
      <c r="K128" s="36"/>
      <c r="L128" s="19"/>
      <c r="M128" s="34">
        <v>18</v>
      </c>
      <c r="N128" s="40">
        <v>45592</v>
      </c>
      <c r="O128" s="41">
        <v>6000000</v>
      </c>
      <c r="P128" s="19"/>
      <c r="Q128" s="34">
        <v>125</v>
      </c>
      <c r="R128" s="40">
        <v>45638</v>
      </c>
      <c r="S128" s="41">
        <v>7000000</v>
      </c>
      <c r="T128" s="19"/>
      <c r="U128" s="34">
        <v>230</v>
      </c>
      <c r="V128" s="40">
        <v>45697</v>
      </c>
      <c r="W128" s="41">
        <v>7000000</v>
      </c>
      <c r="X128" s="19"/>
      <c r="Y128" s="34">
        <v>385</v>
      </c>
      <c r="Z128" s="40">
        <v>45847</v>
      </c>
      <c r="AA128" s="41">
        <v>7000000</v>
      </c>
      <c r="AB128" s="19"/>
      <c r="AC128" s="34" t="s">
        <v>1523</v>
      </c>
      <c r="AD128" s="40">
        <v>46074</v>
      </c>
      <c r="AE128" s="41">
        <v>6000000</v>
      </c>
      <c r="AG128" s="34"/>
      <c r="AH128" s="40"/>
      <c r="AI128" s="41"/>
      <c r="AK128" s="34"/>
      <c r="AL128" s="40"/>
      <c r="AM128" s="41"/>
      <c r="AO128" s="34"/>
      <c r="AP128" s="40"/>
      <c r="AQ128" s="41"/>
      <c r="AS128" s="34"/>
      <c r="AT128" s="40"/>
      <c r="AU128" s="41"/>
      <c r="AW128" s="34"/>
      <c r="AX128" s="40"/>
      <c r="AY128" s="41"/>
      <c r="BA128" s="34"/>
      <c r="BB128" s="40"/>
      <c r="BC128" s="41"/>
      <c r="BE128" s="34"/>
      <c r="BF128" s="40"/>
      <c r="BG128" s="41"/>
      <c r="BI128" s="34"/>
      <c r="BJ128" s="40"/>
      <c r="BK128" s="41"/>
      <c r="BM128" s="38">
        <f t="shared" si="1"/>
        <v>33000000</v>
      </c>
      <c r="BN128" s="19"/>
    </row>
    <row r="129" spans="1:66" ht="15.75" hidden="1" x14ac:dyDescent="0.25">
      <c r="A129" s="29">
        <v>127</v>
      </c>
      <c r="B129" s="68" t="s">
        <v>421</v>
      </c>
      <c r="C129" s="13" t="s">
        <v>479</v>
      </c>
      <c r="D129" s="18" t="s">
        <v>480</v>
      </c>
      <c r="E129" s="16">
        <v>68</v>
      </c>
      <c r="F129" s="33">
        <v>127</v>
      </c>
      <c r="G129" s="56" t="s">
        <v>265</v>
      </c>
      <c r="I129" s="34">
        <v>366</v>
      </c>
      <c r="J129" s="35">
        <v>45812</v>
      </c>
      <c r="K129" s="36" t="s">
        <v>265</v>
      </c>
      <c r="L129" s="19"/>
      <c r="M129" s="34">
        <v>466</v>
      </c>
      <c r="N129" s="40">
        <v>45986</v>
      </c>
      <c r="O129" s="41" t="s">
        <v>481</v>
      </c>
      <c r="P129" s="19"/>
      <c r="Q129" s="34"/>
      <c r="R129" s="40"/>
      <c r="S129" s="41"/>
      <c r="T129" s="19"/>
      <c r="U129" s="34"/>
      <c r="V129" s="40"/>
      <c r="W129" s="41"/>
      <c r="X129" s="19"/>
      <c r="Y129" s="34"/>
      <c r="Z129" s="40"/>
      <c r="AA129" s="41"/>
      <c r="AB129" s="19"/>
      <c r="AC129" s="34"/>
      <c r="AD129" s="40"/>
      <c r="AE129" s="41"/>
      <c r="AG129" s="34"/>
      <c r="AH129" s="40"/>
      <c r="AI129" s="41"/>
      <c r="AK129" s="34"/>
      <c r="AL129" s="40"/>
      <c r="AM129" s="41"/>
      <c r="AO129" s="34"/>
      <c r="AP129" s="40"/>
      <c r="AQ129" s="41"/>
      <c r="AS129" s="34"/>
      <c r="AT129" s="40"/>
      <c r="AU129" s="41"/>
      <c r="AW129" s="34"/>
      <c r="AX129" s="40"/>
      <c r="AY129" s="41"/>
      <c r="BA129" s="34"/>
      <c r="BB129" s="40"/>
      <c r="BC129" s="41"/>
      <c r="BE129" s="34"/>
      <c r="BF129" s="40"/>
      <c r="BG129" s="41"/>
      <c r="BI129" s="34"/>
      <c r="BJ129" s="40"/>
      <c r="BK129" s="41"/>
      <c r="BM129" s="38">
        <f t="shared" si="1"/>
        <v>0</v>
      </c>
      <c r="BN129" s="19"/>
    </row>
    <row r="130" spans="1:66" ht="15.75" hidden="1" x14ac:dyDescent="0.25">
      <c r="A130" s="29">
        <v>128</v>
      </c>
      <c r="B130" s="68" t="s">
        <v>421</v>
      </c>
      <c r="C130" s="12" t="s">
        <v>34</v>
      </c>
      <c r="D130" s="5" t="s">
        <v>482</v>
      </c>
      <c r="E130" s="50">
        <v>70</v>
      </c>
      <c r="F130" s="51">
        <v>128</v>
      </c>
      <c r="G130" s="50"/>
      <c r="I130" s="52"/>
      <c r="J130" s="53"/>
      <c r="K130" s="36"/>
      <c r="L130" s="58"/>
      <c r="M130" s="52">
        <v>58</v>
      </c>
      <c r="N130" s="59">
        <v>45603</v>
      </c>
      <c r="O130" s="60">
        <v>6000000</v>
      </c>
      <c r="P130" s="58"/>
      <c r="Q130" s="52">
        <v>59</v>
      </c>
      <c r="R130" s="59">
        <v>45603</v>
      </c>
      <c r="S130" s="60">
        <v>7000000</v>
      </c>
      <c r="T130" s="19"/>
      <c r="U130" s="34">
        <v>183</v>
      </c>
      <c r="V130" s="40">
        <v>45668</v>
      </c>
      <c r="W130" s="41">
        <v>7000000</v>
      </c>
      <c r="X130" s="19"/>
      <c r="Y130" s="34">
        <v>431</v>
      </c>
      <c r="Z130" s="40">
        <v>45939</v>
      </c>
      <c r="AA130" s="41">
        <v>7000000</v>
      </c>
      <c r="AB130" s="19"/>
      <c r="AC130" s="34">
        <v>512</v>
      </c>
      <c r="AD130" s="40">
        <v>45994</v>
      </c>
      <c r="AE130" s="41">
        <v>6000000</v>
      </c>
      <c r="AG130" s="34"/>
      <c r="AH130" s="40"/>
      <c r="AI130" s="41"/>
      <c r="AK130" s="34"/>
      <c r="AL130" s="40"/>
      <c r="AM130" s="41"/>
      <c r="AO130" s="34"/>
      <c r="AP130" s="40"/>
      <c r="AQ130" s="41"/>
      <c r="AS130" s="34"/>
      <c r="AT130" s="40"/>
      <c r="AU130" s="41"/>
      <c r="AW130" s="34"/>
      <c r="AX130" s="40"/>
      <c r="AY130" s="41"/>
      <c r="BA130" s="34"/>
      <c r="BB130" s="40"/>
      <c r="BC130" s="41"/>
      <c r="BE130" s="34"/>
      <c r="BF130" s="40"/>
      <c r="BG130" s="41"/>
      <c r="BI130" s="34"/>
      <c r="BJ130" s="40"/>
      <c r="BK130" s="41"/>
      <c r="BM130" s="38">
        <f t="shared" si="1"/>
        <v>33000000</v>
      </c>
      <c r="BN130" s="19"/>
    </row>
    <row r="131" spans="1:66" ht="15.75" hidden="1" x14ac:dyDescent="0.25">
      <c r="A131" s="29">
        <v>129</v>
      </c>
      <c r="B131" s="73" t="s">
        <v>483</v>
      </c>
      <c r="C131" s="12" t="s">
        <v>484</v>
      </c>
      <c r="D131" s="18" t="s">
        <v>485</v>
      </c>
      <c r="E131" s="16">
        <v>98</v>
      </c>
      <c r="F131" s="33">
        <v>129</v>
      </c>
      <c r="G131" s="16"/>
      <c r="I131" s="34">
        <v>39</v>
      </c>
      <c r="J131" s="35">
        <v>45599</v>
      </c>
      <c r="K131" s="36">
        <v>8000000</v>
      </c>
      <c r="L131" s="19"/>
      <c r="M131" s="34">
        <v>38</v>
      </c>
      <c r="N131" s="40">
        <v>45599</v>
      </c>
      <c r="O131" s="41">
        <v>6000000</v>
      </c>
      <c r="P131" s="19"/>
      <c r="Q131" s="34">
        <v>38</v>
      </c>
      <c r="R131" s="40">
        <v>45599</v>
      </c>
      <c r="S131" s="41">
        <v>1000000</v>
      </c>
      <c r="T131" s="19"/>
      <c r="U131" s="34"/>
      <c r="V131" s="40"/>
      <c r="W131" s="41"/>
      <c r="X131" s="19"/>
      <c r="Y131" s="34"/>
      <c r="Z131" s="40"/>
      <c r="AA131" s="41"/>
      <c r="AB131" s="19"/>
      <c r="AC131" s="34"/>
      <c r="AD131" s="40"/>
      <c r="AE131" s="41"/>
      <c r="AG131" s="34"/>
      <c r="AH131" s="40"/>
      <c r="AI131" s="41"/>
      <c r="AK131" s="34"/>
      <c r="AL131" s="40"/>
      <c r="AM131" s="41"/>
      <c r="AO131" s="34"/>
      <c r="AP131" s="40"/>
      <c r="AQ131" s="41"/>
      <c r="AS131" s="34"/>
      <c r="AT131" s="40"/>
      <c r="AU131" s="41"/>
      <c r="AW131" s="34"/>
      <c r="AX131" s="40"/>
      <c r="AY131" s="41"/>
      <c r="BA131" s="34"/>
      <c r="BB131" s="40"/>
      <c r="BC131" s="41"/>
      <c r="BE131" s="34"/>
      <c r="BF131" s="40"/>
      <c r="BG131" s="41"/>
      <c r="BI131" s="34"/>
      <c r="BJ131" s="40"/>
      <c r="BK131" s="41"/>
      <c r="BM131" s="38">
        <f t="shared" si="1"/>
        <v>15000000</v>
      </c>
      <c r="BN131" s="19"/>
    </row>
    <row r="132" spans="1:66" ht="15.75" hidden="1" x14ac:dyDescent="0.25">
      <c r="A132" s="29">
        <v>130</v>
      </c>
      <c r="B132" s="73" t="s">
        <v>483</v>
      </c>
      <c r="C132" s="12" t="s">
        <v>486</v>
      </c>
      <c r="D132" s="18" t="s">
        <v>485</v>
      </c>
      <c r="E132" s="16">
        <v>95</v>
      </c>
      <c r="F132" s="33">
        <v>130</v>
      </c>
      <c r="G132" s="16"/>
      <c r="I132" s="34">
        <v>37</v>
      </c>
      <c r="J132" s="35">
        <v>45599</v>
      </c>
      <c r="K132" s="36">
        <v>8000000</v>
      </c>
      <c r="L132" s="19"/>
      <c r="M132" s="34">
        <v>36</v>
      </c>
      <c r="N132" s="40">
        <v>45599</v>
      </c>
      <c r="O132" s="41">
        <v>6000000</v>
      </c>
      <c r="P132" s="19"/>
      <c r="Q132" s="34">
        <v>36</v>
      </c>
      <c r="R132" s="40">
        <v>45599</v>
      </c>
      <c r="S132" s="41">
        <v>1000000</v>
      </c>
      <c r="T132" s="19"/>
      <c r="U132" s="34"/>
      <c r="V132" s="40"/>
      <c r="W132" s="41"/>
      <c r="X132" s="19"/>
      <c r="Y132" s="34"/>
      <c r="Z132" s="40"/>
      <c r="AA132" s="41"/>
      <c r="AB132" s="19"/>
      <c r="AC132" s="34"/>
      <c r="AD132" s="40"/>
      <c r="AE132" s="41"/>
      <c r="AG132" s="34"/>
      <c r="AH132" s="40"/>
      <c r="AI132" s="41"/>
      <c r="AK132" s="34"/>
      <c r="AL132" s="40"/>
      <c r="AM132" s="41"/>
      <c r="AO132" s="34"/>
      <c r="AP132" s="40"/>
      <c r="AQ132" s="41"/>
      <c r="AS132" s="34"/>
      <c r="AT132" s="40"/>
      <c r="AU132" s="41"/>
      <c r="AW132" s="34"/>
      <c r="AX132" s="40"/>
      <c r="AY132" s="41"/>
      <c r="BA132" s="34"/>
      <c r="BB132" s="40"/>
      <c r="BC132" s="41"/>
      <c r="BE132" s="34"/>
      <c r="BF132" s="40"/>
      <c r="BG132" s="41"/>
      <c r="BI132" s="34"/>
      <c r="BJ132" s="40"/>
      <c r="BK132" s="41"/>
      <c r="BM132" s="38">
        <f t="shared" ref="BM132:BM156" si="2">SUM(K132,O132,S132,W132,AA132,AE132,AI132,AM132,AQ132,AU132,AY132,BC132,BG132,BK132)</f>
        <v>15000000</v>
      </c>
      <c r="BN132" s="19"/>
    </row>
    <row r="133" spans="1:66" ht="15.75" hidden="1" x14ac:dyDescent="0.25">
      <c r="A133" s="29">
        <v>131</v>
      </c>
      <c r="B133" s="73" t="s">
        <v>483</v>
      </c>
      <c r="C133" s="12" t="s">
        <v>484</v>
      </c>
      <c r="D133" s="18" t="s">
        <v>485</v>
      </c>
      <c r="E133" s="16">
        <v>99</v>
      </c>
      <c r="F133" s="33">
        <v>131</v>
      </c>
      <c r="G133" s="16"/>
      <c r="I133" s="34">
        <v>41</v>
      </c>
      <c r="J133" s="35">
        <v>45599</v>
      </c>
      <c r="K133" s="36">
        <v>8000000</v>
      </c>
      <c r="L133" s="19"/>
      <c r="M133" s="34">
        <v>40</v>
      </c>
      <c r="N133" s="40">
        <v>45599</v>
      </c>
      <c r="O133" s="41">
        <v>6000000</v>
      </c>
      <c r="P133" s="19"/>
      <c r="Q133" s="34">
        <v>40</v>
      </c>
      <c r="R133" s="40">
        <v>45599</v>
      </c>
      <c r="S133" s="41">
        <v>1000000</v>
      </c>
      <c r="T133" s="19"/>
      <c r="U133" s="34"/>
      <c r="V133" s="40"/>
      <c r="W133" s="41"/>
      <c r="X133" s="19"/>
      <c r="Y133" s="34"/>
      <c r="Z133" s="40"/>
      <c r="AA133" s="41"/>
      <c r="AB133" s="19"/>
      <c r="AC133" s="34"/>
      <c r="AD133" s="40"/>
      <c r="AE133" s="41"/>
      <c r="AG133" s="34"/>
      <c r="AH133" s="40"/>
      <c r="AI133" s="41"/>
      <c r="AK133" s="34"/>
      <c r="AL133" s="40"/>
      <c r="AM133" s="41"/>
      <c r="AO133" s="34"/>
      <c r="AP133" s="40"/>
      <c r="AQ133" s="41"/>
      <c r="AS133" s="34"/>
      <c r="AT133" s="40"/>
      <c r="AU133" s="41"/>
      <c r="AW133" s="34"/>
      <c r="AX133" s="40"/>
      <c r="AY133" s="41"/>
      <c r="BA133" s="34"/>
      <c r="BB133" s="40"/>
      <c r="BC133" s="41"/>
      <c r="BE133" s="34"/>
      <c r="BF133" s="40"/>
      <c r="BG133" s="41"/>
      <c r="BI133" s="34"/>
      <c r="BJ133" s="40"/>
      <c r="BK133" s="41"/>
      <c r="BM133" s="38">
        <f t="shared" si="2"/>
        <v>15000000</v>
      </c>
      <c r="BN133" s="19"/>
    </row>
    <row r="134" spans="1:66" ht="15.75" hidden="1" x14ac:dyDescent="0.25">
      <c r="A134" s="29">
        <v>132</v>
      </c>
      <c r="B134" s="74" t="s">
        <v>487</v>
      </c>
      <c r="C134" s="12" t="s">
        <v>488</v>
      </c>
      <c r="D134" s="5" t="s">
        <v>259</v>
      </c>
      <c r="E134" s="50">
        <v>71</v>
      </c>
      <c r="F134" s="51">
        <v>132</v>
      </c>
      <c r="G134" s="50"/>
      <c r="I134" s="52"/>
      <c r="J134" s="53"/>
      <c r="K134" s="54"/>
      <c r="L134" s="58"/>
      <c r="M134" s="52">
        <v>78</v>
      </c>
      <c r="N134" s="59">
        <v>45615</v>
      </c>
      <c r="O134" s="60">
        <v>6000000</v>
      </c>
      <c r="P134" s="58"/>
      <c r="Q134" s="52">
        <v>79</v>
      </c>
      <c r="R134" s="59">
        <v>45615</v>
      </c>
      <c r="S134" s="60">
        <v>7000000</v>
      </c>
      <c r="T134" s="19"/>
      <c r="U134" s="34">
        <v>302</v>
      </c>
      <c r="V134" s="40">
        <v>45742</v>
      </c>
      <c r="W134" s="41">
        <v>7000000</v>
      </c>
      <c r="X134" s="19"/>
      <c r="Y134" s="34">
        <v>428</v>
      </c>
      <c r="Z134" s="40">
        <v>45936</v>
      </c>
      <c r="AA134" s="41">
        <v>7000000</v>
      </c>
      <c r="AB134" s="19"/>
      <c r="AC134" s="34"/>
      <c r="AD134" s="40"/>
      <c r="AE134" s="41"/>
      <c r="AG134" s="34"/>
      <c r="AH134" s="40"/>
      <c r="AI134" s="41"/>
      <c r="AK134" s="34"/>
      <c r="AL134" s="40"/>
      <c r="AM134" s="41"/>
      <c r="AO134" s="34"/>
      <c r="AP134" s="40"/>
      <c r="AQ134" s="41"/>
      <c r="AS134" s="34"/>
      <c r="AT134" s="40"/>
      <c r="AU134" s="41"/>
      <c r="AW134" s="34"/>
      <c r="AX134" s="40"/>
      <c r="AY134" s="41"/>
      <c r="BA134" s="34"/>
      <c r="BB134" s="40"/>
      <c r="BC134" s="41"/>
      <c r="BE134" s="34"/>
      <c r="BF134" s="40"/>
      <c r="BG134" s="41"/>
      <c r="BI134" s="34"/>
      <c r="BJ134" s="40"/>
      <c r="BK134" s="41"/>
      <c r="BM134" s="38">
        <f t="shared" si="2"/>
        <v>27000000</v>
      </c>
      <c r="BN134" s="19"/>
    </row>
    <row r="135" spans="1:66" ht="15.75" hidden="1" x14ac:dyDescent="0.25">
      <c r="A135" s="29">
        <v>133</v>
      </c>
      <c r="B135" s="74" t="s">
        <v>487</v>
      </c>
      <c r="C135" s="13" t="s">
        <v>489</v>
      </c>
      <c r="D135" s="18" t="s">
        <v>490</v>
      </c>
      <c r="E135" s="16">
        <v>73</v>
      </c>
      <c r="F135" s="33">
        <v>133</v>
      </c>
      <c r="G135" s="16"/>
      <c r="I135" s="34"/>
      <c r="J135" s="35"/>
      <c r="K135" s="36"/>
      <c r="L135" s="19"/>
      <c r="M135" s="34">
        <v>169</v>
      </c>
      <c r="N135" s="40">
        <v>45661</v>
      </c>
      <c r="O135" s="41">
        <v>6000000</v>
      </c>
      <c r="P135" s="19"/>
      <c r="Q135" s="34">
        <v>170</v>
      </c>
      <c r="R135" s="40">
        <v>45661</v>
      </c>
      <c r="S135" s="41">
        <v>7000000</v>
      </c>
      <c r="T135" s="19"/>
      <c r="U135" s="34">
        <v>253</v>
      </c>
      <c r="V135" s="40">
        <v>45710</v>
      </c>
      <c r="W135" s="41">
        <v>7000000</v>
      </c>
      <c r="X135" s="19"/>
      <c r="Y135" s="34"/>
      <c r="Z135" s="40"/>
      <c r="AA135" s="41"/>
      <c r="AB135" s="19"/>
      <c r="AC135" s="34"/>
      <c r="AD135" s="40"/>
      <c r="AE135" s="41"/>
      <c r="AG135" s="34"/>
      <c r="AH135" s="40"/>
      <c r="AI135" s="41"/>
      <c r="AK135" s="34"/>
      <c r="AL135" s="40"/>
      <c r="AM135" s="41"/>
      <c r="AO135" s="34"/>
      <c r="AP135" s="40"/>
      <c r="AQ135" s="41"/>
      <c r="AS135" s="34"/>
      <c r="AT135" s="40"/>
      <c r="AU135" s="41"/>
      <c r="AW135" s="34"/>
      <c r="AX135" s="40"/>
      <c r="AY135" s="41"/>
      <c r="BA135" s="34"/>
      <c r="BB135" s="40"/>
      <c r="BC135" s="41"/>
      <c r="BE135" s="34"/>
      <c r="BF135" s="40"/>
      <c r="BG135" s="41"/>
      <c r="BI135" s="34"/>
      <c r="BJ135" s="40"/>
      <c r="BK135" s="41"/>
      <c r="BM135" s="38">
        <f t="shared" si="2"/>
        <v>20000000</v>
      </c>
      <c r="BN135" s="19"/>
    </row>
    <row r="136" spans="1:66" ht="15.75" hidden="1" x14ac:dyDescent="0.25">
      <c r="A136" s="29">
        <v>134</v>
      </c>
      <c r="B136" s="74" t="s">
        <v>487</v>
      </c>
      <c r="C136" s="12" t="s">
        <v>491</v>
      </c>
      <c r="D136" s="5" t="s">
        <v>492</v>
      </c>
      <c r="E136" s="50">
        <v>75</v>
      </c>
      <c r="F136" s="51">
        <v>134</v>
      </c>
      <c r="G136" s="50"/>
      <c r="I136" s="52"/>
      <c r="J136" s="53"/>
      <c r="K136" s="54"/>
      <c r="L136" s="58"/>
      <c r="M136" s="52">
        <v>95</v>
      </c>
      <c r="N136" s="59">
        <v>45623</v>
      </c>
      <c r="O136" s="60">
        <v>6000000</v>
      </c>
      <c r="P136" s="58"/>
      <c r="Q136" s="52">
        <v>189</v>
      </c>
      <c r="R136" s="59">
        <v>45672</v>
      </c>
      <c r="S136" s="60">
        <v>7000000</v>
      </c>
      <c r="T136" s="19"/>
      <c r="U136" s="34">
        <v>256</v>
      </c>
      <c r="V136" s="40">
        <v>45711</v>
      </c>
      <c r="W136" s="41">
        <v>7000000</v>
      </c>
      <c r="X136" s="19"/>
      <c r="Y136" s="34"/>
      <c r="Z136" s="40"/>
      <c r="AA136" s="41"/>
      <c r="AB136" s="19"/>
      <c r="AC136" s="34"/>
      <c r="AD136" s="40"/>
      <c r="AE136" s="41"/>
      <c r="AG136" s="34"/>
      <c r="AH136" s="40"/>
      <c r="AI136" s="41"/>
      <c r="AK136" s="34"/>
      <c r="AL136" s="40"/>
      <c r="AM136" s="41"/>
      <c r="AO136" s="34"/>
      <c r="AP136" s="40"/>
      <c r="AQ136" s="41"/>
      <c r="AS136" s="34"/>
      <c r="AT136" s="40"/>
      <c r="AU136" s="41"/>
      <c r="AW136" s="34"/>
      <c r="AX136" s="40"/>
      <c r="AY136" s="41"/>
      <c r="BA136" s="34"/>
      <c r="BB136" s="40"/>
      <c r="BC136" s="41"/>
      <c r="BE136" s="34"/>
      <c r="BF136" s="40"/>
      <c r="BG136" s="41"/>
      <c r="BI136" s="34"/>
      <c r="BJ136" s="40"/>
      <c r="BK136" s="41"/>
      <c r="BM136" s="38">
        <f t="shared" si="2"/>
        <v>20000000</v>
      </c>
      <c r="BN136" s="19"/>
    </row>
    <row r="137" spans="1:66" ht="15.75" hidden="1" x14ac:dyDescent="0.25">
      <c r="A137" s="29">
        <v>135</v>
      </c>
      <c r="B137" s="74" t="s">
        <v>487</v>
      </c>
      <c r="C137" s="12" t="s">
        <v>493</v>
      </c>
      <c r="D137" s="5" t="s">
        <v>494</v>
      </c>
      <c r="E137" s="50">
        <v>77</v>
      </c>
      <c r="F137" s="51">
        <v>135</v>
      </c>
      <c r="G137" s="50"/>
      <c r="I137" s="52"/>
      <c r="J137" s="53"/>
      <c r="K137" s="54"/>
      <c r="L137" s="58"/>
      <c r="M137" s="52">
        <v>82</v>
      </c>
      <c r="N137" s="59">
        <v>45618</v>
      </c>
      <c r="O137" s="60">
        <v>6000000</v>
      </c>
      <c r="P137" s="19"/>
      <c r="Q137" s="34">
        <v>175</v>
      </c>
      <c r="R137" s="40">
        <v>45663</v>
      </c>
      <c r="S137" s="41">
        <v>7000000</v>
      </c>
      <c r="T137" s="19"/>
      <c r="U137" s="34">
        <v>316</v>
      </c>
      <c r="V137" s="40">
        <v>45759</v>
      </c>
      <c r="W137" s="41">
        <v>7000000</v>
      </c>
      <c r="X137" s="19"/>
      <c r="Y137" s="34"/>
      <c r="Z137" s="40"/>
      <c r="AA137" s="41"/>
      <c r="AB137" s="19"/>
      <c r="AC137" s="34"/>
      <c r="AD137" s="40"/>
      <c r="AE137" s="41"/>
      <c r="AG137" s="34"/>
      <c r="AH137" s="40"/>
      <c r="AI137" s="41"/>
      <c r="AK137" s="34"/>
      <c r="AL137" s="40"/>
      <c r="AM137" s="41"/>
      <c r="AO137" s="34"/>
      <c r="AP137" s="40"/>
      <c r="AQ137" s="41"/>
      <c r="AS137" s="34"/>
      <c r="AT137" s="40"/>
      <c r="AU137" s="41"/>
      <c r="AW137" s="34"/>
      <c r="AX137" s="40"/>
      <c r="AY137" s="41"/>
      <c r="BA137" s="34"/>
      <c r="BB137" s="40"/>
      <c r="BC137" s="41"/>
      <c r="BE137" s="34"/>
      <c r="BF137" s="40"/>
      <c r="BG137" s="41"/>
      <c r="BI137" s="34"/>
      <c r="BJ137" s="40"/>
      <c r="BK137" s="41"/>
      <c r="BM137" s="38">
        <f t="shared" si="2"/>
        <v>20000000</v>
      </c>
      <c r="BN137" s="19"/>
    </row>
    <row r="138" spans="1:66" ht="15.75" hidden="1" x14ac:dyDescent="0.25">
      <c r="A138" s="29">
        <v>136</v>
      </c>
      <c r="B138" s="74" t="s">
        <v>487</v>
      </c>
      <c r="C138" s="12" t="s">
        <v>495</v>
      </c>
      <c r="D138" s="5" t="s">
        <v>496</v>
      </c>
      <c r="E138" s="50">
        <v>81</v>
      </c>
      <c r="F138" s="51">
        <v>136</v>
      </c>
      <c r="G138" s="50"/>
      <c r="I138" s="52"/>
      <c r="J138" s="53"/>
      <c r="K138" s="54"/>
      <c r="L138" s="58"/>
      <c r="M138" s="52">
        <v>157</v>
      </c>
      <c r="N138" s="59">
        <v>45656</v>
      </c>
      <c r="O138" s="60">
        <v>6000000</v>
      </c>
      <c r="P138" s="58"/>
      <c r="Q138" s="52">
        <v>104</v>
      </c>
      <c r="R138" s="59">
        <v>45627</v>
      </c>
      <c r="S138" s="60">
        <v>7000000</v>
      </c>
      <c r="T138" s="19"/>
      <c r="U138" s="34">
        <v>270</v>
      </c>
      <c r="V138" s="40">
        <v>45717</v>
      </c>
      <c r="W138" s="41">
        <v>7000000</v>
      </c>
      <c r="X138" s="19"/>
      <c r="Y138" s="34"/>
      <c r="Z138" s="40"/>
      <c r="AA138" s="41"/>
      <c r="AB138" s="19"/>
      <c r="AC138" s="34"/>
      <c r="AD138" s="40"/>
      <c r="AE138" s="41"/>
      <c r="AG138" s="34"/>
      <c r="AH138" s="40"/>
      <c r="AI138" s="41"/>
      <c r="AK138" s="34"/>
      <c r="AL138" s="40"/>
      <c r="AM138" s="41"/>
      <c r="AO138" s="34"/>
      <c r="AP138" s="40"/>
      <c r="AQ138" s="41"/>
      <c r="AS138" s="34"/>
      <c r="AT138" s="40"/>
      <c r="AU138" s="41"/>
      <c r="AW138" s="34"/>
      <c r="AX138" s="40"/>
      <c r="AY138" s="41"/>
      <c r="BA138" s="34"/>
      <c r="BB138" s="40"/>
      <c r="BC138" s="41"/>
      <c r="BE138" s="34"/>
      <c r="BF138" s="40"/>
      <c r="BG138" s="41"/>
      <c r="BI138" s="34"/>
      <c r="BJ138" s="40"/>
      <c r="BK138" s="41"/>
      <c r="BM138" s="38">
        <f t="shared" si="2"/>
        <v>20000000</v>
      </c>
      <c r="BN138" s="19"/>
    </row>
    <row r="139" spans="1:66" ht="15.75" hidden="1" x14ac:dyDescent="0.25">
      <c r="A139" s="29">
        <v>137</v>
      </c>
      <c r="B139" s="74" t="s">
        <v>487</v>
      </c>
      <c r="C139" s="12" t="s">
        <v>497</v>
      </c>
      <c r="D139" s="5" t="s">
        <v>498</v>
      </c>
      <c r="E139" s="50">
        <v>96</v>
      </c>
      <c r="F139" s="51">
        <v>137</v>
      </c>
      <c r="G139" s="50"/>
      <c r="I139" s="52"/>
      <c r="J139" s="53"/>
      <c r="K139" s="54"/>
      <c r="L139" s="58"/>
      <c r="M139" s="52">
        <v>89</v>
      </c>
      <c r="N139" s="59">
        <v>45621</v>
      </c>
      <c r="O139" s="60">
        <v>6000000</v>
      </c>
      <c r="P139" s="19"/>
      <c r="Q139" s="34">
        <v>145</v>
      </c>
      <c r="R139" s="40">
        <v>45647</v>
      </c>
      <c r="S139" s="41">
        <v>7000000</v>
      </c>
      <c r="T139" s="19"/>
      <c r="U139" s="34">
        <v>264</v>
      </c>
      <c r="V139" s="40">
        <v>45713</v>
      </c>
      <c r="W139" s="41">
        <v>7000000</v>
      </c>
      <c r="X139" s="19"/>
      <c r="Y139" s="34"/>
      <c r="Z139" s="40"/>
      <c r="AA139" s="41"/>
      <c r="AB139" s="19"/>
      <c r="AC139" s="34"/>
      <c r="AD139" s="40"/>
      <c r="AE139" s="41"/>
      <c r="AG139" s="34"/>
      <c r="AH139" s="40"/>
      <c r="AI139" s="41"/>
      <c r="AK139" s="34"/>
      <c r="AL139" s="40"/>
      <c r="AM139" s="41"/>
      <c r="AO139" s="34"/>
      <c r="AP139" s="40"/>
      <c r="AQ139" s="41"/>
      <c r="AS139" s="34"/>
      <c r="AT139" s="40"/>
      <c r="AU139" s="41"/>
      <c r="AW139" s="34"/>
      <c r="AX139" s="40"/>
      <c r="AY139" s="41"/>
      <c r="BA139" s="34"/>
      <c r="BB139" s="40"/>
      <c r="BC139" s="41"/>
      <c r="BE139" s="34"/>
      <c r="BF139" s="40"/>
      <c r="BG139" s="41"/>
      <c r="BI139" s="34"/>
      <c r="BJ139" s="40"/>
      <c r="BK139" s="41"/>
      <c r="BM139" s="38">
        <f t="shared" si="2"/>
        <v>20000000</v>
      </c>
      <c r="BN139" s="19"/>
    </row>
    <row r="140" spans="1:66" ht="15.75" hidden="1" x14ac:dyDescent="0.25">
      <c r="A140" s="29">
        <v>138</v>
      </c>
      <c r="B140" s="74" t="s">
        <v>487</v>
      </c>
      <c r="C140" s="12" t="s">
        <v>499</v>
      </c>
      <c r="D140" s="5" t="s">
        <v>500</v>
      </c>
      <c r="E140" s="50">
        <v>111</v>
      </c>
      <c r="F140" s="51">
        <v>138</v>
      </c>
      <c r="G140" s="50"/>
      <c r="I140" s="52"/>
      <c r="J140" s="53"/>
      <c r="K140" s="54"/>
      <c r="L140" s="58"/>
      <c r="M140" s="52">
        <v>96</v>
      </c>
      <c r="N140" s="59">
        <v>45623</v>
      </c>
      <c r="O140" s="60">
        <v>6000000</v>
      </c>
      <c r="P140" s="19"/>
      <c r="Q140" s="34">
        <v>182</v>
      </c>
      <c r="R140" s="40">
        <v>45665</v>
      </c>
      <c r="S140" s="41">
        <v>7000000</v>
      </c>
      <c r="T140" s="19"/>
      <c r="U140" s="34">
        <v>275</v>
      </c>
      <c r="V140" s="40">
        <v>45719</v>
      </c>
      <c r="W140" s="41">
        <v>7000000</v>
      </c>
      <c r="X140" s="19"/>
      <c r="Y140" s="34"/>
      <c r="Z140" s="40"/>
      <c r="AA140" s="41"/>
      <c r="AB140" s="19"/>
      <c r="AC140" s="34"/>
      <c r="AD140" s="40"/>
      <c r="AE140" s="41"/>
      <c r="AG140" s="34"/>
      <c r="AH140" s="40"/>
      <c r="AI140" s="41"/>
      <c r="AK140" s="34"/>
      <c r="AL140" s="40"/>
      <c r="AM140" s="41"/>
      <c r="AO140" s="34"/>
      <c r="AP140" s="40"/>
      <c r="AQ140" s="41"/>
      <c r="AS140" s="34"/>
      <c r="AT140" s="40"/>
      <c r="AU140" s="41"/>
      <c r="AW140" s="34"/>
      <c r="AX140" s="40"/>
      <c r="AY140" s="41"/>
      <c r="BA140" s="34"/>
      <c r="BB140" s="40"/>
      <c r="BC140" s="41"/>
      <c r="BE140" s="34"/>
      <c r="BF140" s="40"/>
      <c r="BG140" s="41"/>
      <c r="BI140" s="34"/>
      <c r="BJ140" s="40"/>
      <c r="BK140" s="41"/>
      <c r="BM140" s="38">
        <f t="shared" si="2"/>
        <v>20000000</v>
      </c>
      <c r="BN140" s="19"/>
    </row>
    <row r="141" spans="1:66" ht="15.75" hidden="1" x14ac:dyDescent="0.25">
      <c r="A141" s="29">
        <v>139</v>
      </c>
      <c r="B141" s="74" t="s">
        <v>487</v>
      </c>
      <c r="C141" s="13" t="s">
        <v>501</v>
      </c>
      <c r="D141" s="18" t="s">
        <v>502</v>
      </c>
      <c r="E141" s="16">
        <v>103</v>
      </c>
      <c r="F141" s="33">
        <v>139</v>
      </c>
      <c r="G141" s="16"/>
      <c r="I141" s="34">
        <v>258</v>
      </c>
      <c r="J141" s="35">
        <v>45712</v>
      </c>
      <c r="K141" s="36">
        <v>8000000</v>
      </c>
      <c r="L141" s="19"/>
      <c r="M141" s="34">
        <v>259</v>
      </c>
      <c r="N141" s="40">
        <v>45712</v>
      </c>
      <c r="O141" s="41">
        <v>6000000</v>
      </c>
      <c r="P141" s="19"/>
      <c r="Q141" s="34">
        <v>260</v>
      </c>
      <c r="R141" s="40">
        <v>45712</v>
      </c>
      <c r="S141" s="41">
        <v>7000000</v>
      </c>
      <c r="T141" s="19"/>
      <c r="U141" s="34" t="s">
        <v>503</v>
      </c>
      <c r="V141" s="40">
        <v>45712</v>
      </c>
      <c r="W141" s="41">
        <v>7000000</v>
      </c>
      <c r="X141" s="19"/>
      <c r="Y141" s="34"/>
      <c r="Z141" s="40"/>
      <c r="AA141" s="41"/>
      <c r="AB141" s="19"/>
      <c r="AC141" s="34"/>
      <c r="AD141" s="40"/>
      <c r="AE141" s="41"/>
      <c r="AG141" s="34"/>
      <c r="AH141" s="40"/>
      <c r="AI141" s="41"/>
      <c r="AK141" s="34"/>
      <c r="AL141" s="40"/>
      <c r="AM141" s="41"/>
      <c r="AO141" s="34"/>
      <c r="AP141" s="40"/>
      <c r="AQ141" s="41"/>
      <c r="AS141" s="34"/>
      <c r="AT141" s="40"/>
      <c r="AU141" s="41"/>
      <c r="AW141" s="34"/>
      <c r="AX141" s="40"/>
      <c r="AY141" s="41"/>
      <c r="BA141" s="34"/>
      <c r="BB141" s="40"/>
      <c r="BC141" s="41"/>
      <c r="BE141" s="34"/>
      <c r="BF141" s="40"/>
      <c r="BG141" s="41"/>
      <c r="BI141" s="34"/>
      <c r="BJ141" s="40"/>
      <c r="BK141" s="41"/>
      <c r="BM141" s="38">
        <f t="shared" si="2"/>
        <v>28000000</v>
      </c>
      <c r="BN141" s="19"/>
    </row>
    <row r="142" spans="1:66" ht="15.75" hidden="1" x14ac:dyDescent="0.25">
      <c r="A142" s="29">
        <v>140</v>
      </c>
      <c r="B142" s="74" t="s">
        <v>487</v>
      </c>
      <c r="C142" s="12" t="s">
        <v>504</v>
      </c>
      <c r="D142" s="5" t="s">
        <v>505</v>
      </c>
      <c r="E142" s="50">
        <v>106</v>
      </c>
      <c r="F142" s="51">
        <v>140</v>
      </c>
      <c r="G142" s="50"/>
      <c r="I142" s="52"/>
      <c r="J142" s="53"/>
      <c r="K142" s="54"/>
      <c r="L142" s="58"/>
      <c r="M142" s="52">
        <v>87</v>
      </c>
      <c r="N142" s="59">
        <v>45621</v>
      </c>
      <c r="O142" s="60">
        <v>6000000</v>
      </c>
      <c r="P142" s="58"/>
      <c r="Q142" s="52">
        <v>88</v>
      </c>
      <c r="R142" s="59">
        <v>45621</v>
      </c>
      <c r="S142" s="60">
        <v>7000000</v>
      </c>
      <c r="T142" s="19"/>
      <c r="U142" s="34">
        <v>263</v>
      </c>
      <c r="V142" s="40">
        <v>45713</v>
      </c>
      <c r="W142" s="41">
        <v>7000000</v>
      </c>
      <c r="X142" s="19"/>
      <c r="Y142" s="34"/>
      <c r="Z142" s="40"/>
      <c r="AA142" s="41"/>
      <c r="AB142" s="19"/>
      <c r="AC142" s="34"/>
      <c r="AD142" s="40"/>
      <c r="AE142" s="41"/>
      <c r="AG142" s="34"/>
      <c r="AH142" s="40"/>
      <c r="AI142" s="41"/>
      <c r="AK142" s="34"/>
      <c r="AL142" s="40"/>
      <c r="AM142" s="41"/>
      <c r="AO142" s="34"/>
      <c r="AP142" s="40"/>
      <c r="AQ142" s="41"/>
      <c r="AS142" s="34"/>
      <c r="AT142" s="40"/>
      <c r="AU142" s="41"/>
      <c r="AW142" s="34"/>
      <c r="AX142" s="40"/>
      <c r="AY142" s="41"/>
      <c r="BA142" s="34"/>
      <c r="BB142" s="40"/>
      <c r="BC142" s="41"/>
      <c r="BE142" s="34"/>
      <c r="BF142" s="40"/>
      <c r="BG142" s="41"/>
      <c r="BI142" s="34"/>
      <c r="BJ142" s="40"/>
      <c r="BK142" s="41"/>
      <c r="BM142" s="38">
        <f t="shared" si="2"/>
        <v>20000000</v>
      </c>
      <c r="BN142" s="19"/>
    </row>
    <row r="143" spans="1:66" ht="15.75" hidden="1" x14ac:dyDescent="0.25">
      <c r="A143" s="29">
        <v>141</v>
      </c>
      <c r="B143" s="74" t="s">
        <v>487</v>
      </c>
      <c r="C143" s="13" t="s">
        <v>506</v>
      </c>
      <c r="D143" s="18" t="s">
        <v>242</v>
      </c>
      <c r="E143" s="16">
        <v>107</v>
      </c>
      <c r="F143" s="33">
        <v>141</v>
      </c>
      <c r="G143" s="16"/>
      <c r="I143" s="34"/>
      <c r="J143" s="35"/>
      <c r="K143" s="36"/>
      <c r="L143" s="19"/>
      <c r="M143" s="34"/>
      <c r="N143" s="40"/>
      <c r="O143" s="41"/>
      <c r="P143" s="19"/>
      <c r="Q143" s="34"/>
      <c r="R143" s="40"/>
      <c r="S143" s="41"/>
      <c r="T143" s="19"/>
      <c r="U143" s="34">
        <v>567</v>
      </c>
      <c r="V143" s="40">
        <v>46086</v>
      </c>
      <c r="W143" s="41">
        <v>20000000</v>
      </c>
      <c r="X143" s="19"/>
      <c r="Y143" s="34"/>
      <c r="Z143" s="40"/>
      <c r="AA143" s="41"/>
      <c r="AB143" s="19"/>
      <c r="AC143" s="34"/>
      <c r="AD143" s="40"/>
      <c r="AE143" s="41"/>
      <c r="AG143" s="34"/>
      <c r="AH143" s="40"/>
      <c r="AI143" s="41"/>
      <c r="AK143" s="34"/>
      <c r="AL143" s="40"/>
      <c r="AM143" s="41"/>
      <c r="AO143" s="34"/>
      <c r="AP143" s="40"/>
      <c r="AQ143" s="41"/>
      <c r="AS143" s="34"/>
      <c r="AT143" s="40"/>
      <c r="AU143" s="41"/>
      <c r="AW143" s="34"/>
      <c r="AX143" s="40"/>
      <c r="AY143" s="41"/>
      <c r="BA143" s="34"/>
      <c r="BB143" s="40"/>
      <c r="BC143" s="41"/>
      <c r="BE143" s="34"/>
      <c r="BF143" s="40"/>
      <c r="BG143" s="41"/>
      <c r="BI143" s="34"/>
      <c r="BJ143" s="40"/>
      <c r="BK143" s="41"/>
      <c r="BM143" s="38">
        <f t="shared" si="2"/>
        <v>20000000</v>
      </c>
      <c r="BN143" s="19"/>
    </row>
    <row r="144" spans="1:66" ht="15.75" hidden="1" x14ac:dyDescent="0.25">
      <c r="A144" s="29">
        <v>142</v>
      </c>
      <c r="B144" s="74" t="s">
        <v>487</v>
      </c>
      <c r="C144" s="12" t="s">
        <v>1872</v>
      </c>
      <c r="D144" s="18" t="s">
        <v>507</v>
      </c>
      <c r="E144" s="16">
        <v>84</v>
      </c>
      <c r="F144" s="33">
        <v>142</v>
      </c>
      <c r="G144" s="16"/>
      <c r="I144" s="34">
        <v>372</v>
      </c>
      <c r="J144" s="35">
        <v>45831</v>
      </c>
      <c r="K144" s="36">
        <v>8000000</v>
      </c>
      <c r="L144" s="19"/>
      <c r="M144" s="34">
        <v>372</v>
      </c>
      <c r="N144" s="40">
        <v>45831</v>
      </c>
      <c r="O144" s="41">
        <v>6000000</v>
      </c>
      <c r="P144" s="19"/>
      <c r="Q144" s="34">
        <v>372</v>
      </c>
      <c r="R144" s="40">
        <v>45831</v>
      </c>
      <c r="S144" s="41">
        <v>7000000</v>
      </c>
      <c r="T144" s="19"/>
      <c r="U144" s="34">
        <v>372</v>
      </c>
      <c r="V144" s="40">
        <v>45831</v>
      </c>
      <c r="W144" s="41">
        <v>7000000</v>
      </c>
      <c r="X144" s="19"/>
      <c r="Y144" s="34">
        <v>372</v>
      </c>
      <c r="Z144" s="40">
        <v>45831</v>
      </c>
      <c r="AA144" s="41">
        <v>7000000</v>
      </c>
      <c r="AB144" s="19"/>
      <c r="AC144" s="34">
        <v>372</v>
      </c>
      <c r="AD144" s="40">
        <v>45831</v>
      </c>
      <c r="AE144" s="41">
        <v>6000000</v>
      </c>
      <c r="AG144" s="34">
        <v>372</v>
      </c>
      <c r="AH144" s="40">
        <v>45831</v>
      </c>
      <c r="AI144" s="41">
        <v>6000000</v>
      </c>
      <c r="AK144" s="34">
        <v>832</v>
      </c>
      <c r="AL144" s="40">
        <v>46249</v>
      </c>
      <c r="AM144" s="41">
        <v>6000000</v>
      </c>
      <c r="AO144" s="34">
        <v>832</v>
      </c>
      <c r="AP144" s="40">
        <v>46249</v>
      </c>
      <c r="AQ144" s="41">
        <v>2000000</v>
      </c>
      <c r="AS144" s="34"/>
      <c r="AT144" s="40"/>
      <c r="AU144" s="41"/>
      <c r="AW144" s="34"/>
      <c r="AX144" s="40"/>
      <c r="AY144" s="41"/>
      <c r="BA144" s="34"/>
      <c r="BB144" s="40"/>
      <c r="BC144" s="41"/>
      <c r="BE144" s="34"/>
      <c r="BF144" s="40"/>
      <c r="BG144" s="41"/>
      <c r="BI144" s="34"/>
      <c r="BJ144" s="40"/>
      <c r="BK144" s="41"/>
      <c r="BM144" s="38">
        <f t="shared" si="2"/>
        <v>55000000</v>
      </c>
      <c r="BN144" s="19"/>
    </row>
    <row r="145" spans="1:66" ht="15.75" hidden="1" x14ac:dyDescent="0.25">
      <c r="A145" s="29">
        <v>143</v>
      </c>
      <c r="B145" s="74" t="s">
        <v>487</v>
      </c>
      <c r="C145" s="12" t="s">
        <v>508</v>
      </c>
      <c r="D145" s="5" t="s">
        <v>509</v>
      </c>
      <c r="E145" s="50">
        <v>72</v>
      </c>
      <c r="F145" s="51">
        <v>143</v>
      </c>
      <c r="G145" s="50"/>
      <c r="I145" s="52"/>
      <c r="J145" s="53"/>
      <c r="K145" s="54"/>
      <c r="L145" s="58"/>
      <c r="M145" s="52">
        <v>11</v>
      </c>
      <c r="N145" s="59">
        <v>45591</v>
      </c>
      <c r="O145" s="60">
        <v>6000000</v>
      </c>
      <c r="P145" s="58"/>
      <c r="Q145" s="52">
        <v>112</v>
      </c>
      <c r="R145" s="59">
        <v>45629</v>
      </c>
      <c r="S145" s="60">
        <v>7000000</v>
      </c>
      <c r="T145" s="19"/>
      <c r="U145" s="34">
        <v>226</v>
      </c>
      <c r="V145" s="40">
        <v>45697</v>
      </c>
      <c r="W145" s="41">
        <v>7000000</v>
      </c>
      <c r="X145" s="19"/>
      <c r="Y145" s="34">
        <v>401</v>
      </c>
      <c r="Z145" s="40">
        <v>45876</v>
      </c>
      <c r="AA145" s="41">
        <v>7000000</v>
      </c>
      <c r="AB145" s="19"/>
      <c r="AC145" s="34"/>
      <c r="AD145" s="40"/>
      <c r="AE145" s="41"/>
      <c r="AG145" s="34"/>
      <c r="AH145" s="40"/>
      <c r="AI145" s="41"/>
      <c r="AK145" s="34"/>
      <c r="AL145" s="40"/>
      <c r="AM145" s="41"/>
      <c r="AO145" s="34"/>
      <c r="AP145" s="40"/>
      <c r="AQ145" s="41"/>
      <c r="AS145" s="34"/>
      <c r="AT145" s="40"/>
      <c r="AU145" s="41"/>
      <c r="AW145" s="34"/>
      <c r="AX145" s="40"/>
      <c r="AY145" s="41"/>
      <c r="BA145" s="34"/>
      <c r="BB145" s="40"/>
      <c r="BC145" s="41"/>
      <c r="BE145" s="34"/>
      <c r="BF145" s="40"/>
      <c r="BG145" s="41"/>
      <c r="BI145" s="34"/>
      <c r="BJ145" s="40"/>
      <c r="BK145" s="41"/>
      <c r="BM145" s="38">
        <f t="shared" si="2"/>
        <v>27000000</v>
      </c>
      <c r="BN145" s="19"/>
    </row>
    <row r="146" spans="1:66" ht="15.75" hidden="1" x14ac:dyDescent="0.25">
      <c r="A146" s="29">
        <v>144</v>
      </c>
      <c r="B146" s="74" t="s">
        <v>487</v>
      </c>
      <c r="C146" s="12" t="s">
        <v>610</v>
      </c>
      <c r="D146" s="75"/>
      <c r="E146" s="76">
        <v>76</v>
      </c>
      <c r="F146" s="77">
        <v>144</v>
      </c>
      <c r="G146" s="56" t="s">
        <v>347</v>
      </c>
      <c r="I146" s="52">
        <v>532</v>
      </c>
      <c r="J146" s="59">
        <v>46051</v>
      </c>
      <c r="K146" s="36">
        <v>135000000</v>
      </c>
      <c r="L146" s="58"/>
      <c r="M146" s="52"/>
      <c r="N146" s="59"/>
      <c r="O146" s="60"/>
      <c r="P146" s="19"/>
      <c r="Q146" s="34"/>
      <c r="R146" s="40"/>
      <c r="S146" s="41"/>
      <c r="T146" s="19"/>
      <c r="U146" s="34"/>
      <c r="V146" s="40"/>
      <c r="W146" s="41"/>
      <c r="X146" s="19"/>
      <c r="Y146" s="34"/>
      <c r="Z146" s="40"/>
      <c r="AA146" s="41"/>
      <c r="AB146" s="19"/>
      <c r="AC146" s="34"/>
      <c r="AD146" s="40"/>
      <c r="AE146" s="41"/>
      <c r="AG146" s="34"/>
      <c r="AH146" s="40"/>
      <c r="AI146" s="41"/>
      <c r="AK146" s="34"/>
      <c r="AL146" s="40"/>
      <c r="AM146" s="41"/>
      <c r="AO146" s="34"/>
      <c r="AP146" s="40"/>
      <c r="AQ146" s="41"/>
      <c r="AS146" s="34"/>
      <c r="AT146" s="40"/>
      <c r="AU146" s="41"/>
      <c r="AW146" s="34"/>
      <c r="AX146" s="40"/>
      <c r="AY146" s="41"/>
      <c r="BA146" s="34"/>
      <c r="BB146" s="40"/>
      <c r="BC146" s="41"/>
      <c r="BE146" s="34"/>
      <c r="BF146" s="40"/>
      <c r="BG146" s="41"/>
      <c r="BI146" s="34"/>
      <c r="BJ146" s="40"/>
      <c r="BK146" s="41"/>
      <c r="BM146" s="38">
        <f t="shared" si="2"/>
        <v>135000000</v>
      </c>
      <c r="BN146" s="19"/>
    </row>
    <row r="147" spans="1:66" ht="15.75" hidden="1" x14ac:dyDescent="0.25">
      <c r="A147" s="29">
        <v>145</v>
      </c>
      <c r="B147" s="74" t="s">
        <v>487</v>
      </c>
      <c r="C147" s="12" t="s">
        <v>510</v>
      </c>
      <c r="D147" s="5" t="s">
        <v>511</v>
      </c>
      <c r="E147" s="50">
        <v>79</v>
      </c>
      <c r="F147" s="51">
        <v>145</v>
      </c>
      <c r="G147" s="50"/>
      <c r="I147" s="52"/>
      <c r="J147" s="53"/>
      <c r="K147" s="54"/>
      <c r="L147" s="58"/>
      <c r="M147" s="52">
        <v>84</v>
      </c>
      <c r="N147" s="59">
        <v>45619</v>
      </c>
      <c r="O147" s="60">
        <v>6000000</v>
      </c>
      <c r="P147" s="19"/>
      <c r="Q147" s="34">
        <v>166</v>
      </c>
      <c r="R147" s="40">
        <v>45659</v>
      </c>
      <c r="S147" s="41">
        <v>7000000</v>
      </c>
      <c r="T147" s="19"/>
      <c r="U147" s="34" t="s">
        <v>512</v>
      </c>
      <c r="V147" s="40">
        <v>45708</v>
      </c>
      <c r="W147" s="41">
        <v>7000000</v>
      </c>
      <c r="X147" s="19"/>
      <c r="Y147" s="34" t="s">
        <v>513</v>
      </c>
      <c r="Z147" s="40">
        <v>45773</v>
      </c>
      <c r="AA147" s="41">
        <v>7000000</v>
      </c>
      <c r="AB147" s="19"/>
      <c r="AC147" s="34" t="s">
        <v>514</v>
      </c>
      <c r="AD147" s="40">
        <v>45788</v>
      </c>
      <c r="AE147" s="41">
        <v>6000000</v>
      </c>
      <c r="AG147" s="34">
        <v>553</v>
      </c>
      <c r="AH147" s="40">
        <v>46078</v>
      </c>
      <c r="AI147" s="41">
        <v>5000000</v>
      </c>
      <c r="AK147" s="34"/>
      <c r="AL147" s="40"/>
      <c r="AM147" s="41"/>
      <c r="AO147" s="34"/>
      <c r="AP147" s="40"/>
      <c r="AQ147" s="41"/>
      <c r="AS147" s="34"/>
      <c r="AT147" s="40"/>
      <c r="AU147" s="41"/>
      <c r="AW147" s="34"/>
      <c r="AX147" s="40"/>
      <c r="AY147" s="41"/>
      <c r="BA147" s="34"/>
      <c r="BB147" s="40"/>
      <c r="BC147" s="41"/>
      <c r="BE147" s="34"/>
      <c r="BF147" s="40"/>
      <c r="BG147" s="41"/>
      <c r="BI147" s="34"/>
      <c r="BJ147" s="40"/>
      <c r="BK147" s="41"/>
      <c r="BM147" s="38">
        <f>SUM(K147,O147,S147,W147,AA147,AE147,AI147,AM147,AQ147,AU147,AY147,BC147,BG147,BK147)</f>
        <v>38000000</v>
      </c>
      <c r="BN147" s="19"/>
    </row>
    <row r="148" spans="1:66" ht="15.75" hidden="1" x14ac:dyDescent="0.25">
      <c r="A148" s="29">
        <v>146</v>
      </c>
      <c r="B148" s="74" t="s">
        <v>487</v>
      </c>
      <c r="C148" s="12" t="s">
        <v>515</v>
      </c>
      <c r="D148" s="5" t="s">
        <v>516</v>
      </c>
      <c r="E148" s="50">
        <v>82</v>
      </c>
      <c r="F148" s="51">
        <v>146</v>
      </c>
      <c r="G148" s="50"/>
      <c r="I148" s="52"/>
      <c r="J148" s="53"/>
      <c r="K148" s="54"/>
      <c r="L148" s="58"/>
      <c r="M148" s="52">
        <v>92</v>
      </c>
      <c r="N148" s="59">
        <v>45622</v>
      </c>
      <c r="O148" s="60">
        <v>6000000</v>
      </c>
      <c r="P148" s="19"/>
      <c r="Q148" s="34">
        <v>162</v>
      </c>
      <c r="R148" s="40">
        <v>45657</v>
      </c>
      <c r="S148" s="41">
        <v>7000000</v>
      </c>
      <c r="T148" s="19"/>
      <c r="U148" s="34">
        <v>272</v>
      </c>
      <c r="V148" s="40">
        <v>45717</v>
      </c>
      <c r="W148" s="41">
        <v>7000000</v>
      </c>
      <c r="X148" s="19"/>
      <c r="Y148" s="34">
        <v>492</v>
      </c>
      <c r="Z148" s="40">
        <v>46005</v>
      </c>
      <c r="AA148" s="41">
        <v>7000000</v>
      </c>
      <c r="AB148" s="19"/>
      <c r="AC148" s="34"/>
      <c r="AD148" s="40"/>
      <c r="AE148" s="41"/>
      <c r="AG148" s="34"/>
      <c r="AH148" s="40"/>
      <c r="AI148" s="41"/>
      <c r="AK148" s="34"/>
      <c r="AL148" s="40"/>
      <c r="AM148" s="41"/>
      <c r="AO148" s="34"/>
      <c r="AP148" s="40"/>
      <c r="AQ148" s="41"/>
      <c r="AS148" s="34"/>
      <c r="AT148" s="40"/>
      <c r="AU148" s="41"/>
      <c r="AW148" s="34"/>
      <c r="AX148" s="40"/>
      <c r="AY148" s="41"/>
      <c r="BA148" s="34"/>
      <c r="BB148" s="40"/>
      <c r="BC148" s="41"/>
      <c r="BE148" s="34"/>
      <c r="BF148" s="40"/>
      <c r="BG148" s="41"/>
      <c r="BI148" s="34"/>
      <c r="BJ148" s="40"/>
      <c r="BK148" s="41"/>
      <c r="BM148" s="38">
        <f t="shared" si="2"/>
        <v>27000000</v>
      </c>
      <c r="BN148" s="19"/>
    </row>
    <row r="149" spans="1:66" ht="15.75" hidden="1" x14ac:dyDescent="0.25">
      <c r="A149" s="29">
        <v>147</v>
      </c>
      <c r="B149" s="74" t="s">
        <v>487</v>
      </c>
      <c r="C149" s="13" t="s">
        <v>517</v>
      </c>
      <c r="D149" s="18" t="s">
        <v>518</v>
      </c>
      <c r="E149" s="16">
        <v>110</v>
      </c>
      <c r="F149" s="33">
        <v>147</v>
      </c>
      <c r="G149" s="16"/>
      <c r="I149" s="34"/>
      <c r="J149" s="35"/>
      <c r="K149" s="36"/>
      <c r="L149" s="19"/>
      <c r="M149" s="34">
        <v>15</v>
      </c>
      <c r="N149" s="40">
        <v>45592</v>
      </c>
      <c r="O149" s="41">
        <v>6000000</v>
      </c>
      <c r="P149" s="19"/>
      <c r="Q149" s="34">
        <v>137</v>
      </c>
      <c r="R149" s="40">
        <v>45642</v>
      </c>
      <c r="S149" s="41">
        <v>7000000</v>
      </c>
      <c r="T149" s="19"/>
      <c r="U149" s="34">
        <v>185</v>
      </c>
      <c r="V149" s="40">
        <v>45669</v>
      </c>
      <c r="W149" s="41">
        <v>7000000</v>
      </c>
      <c r="X149" s="19"/>
      <c r="Y149" s="34">
        <v>435</v>
      </c>
      <c r="Z149" s="40">
        <v>45945</v>
      </c>
      <c r="AA149" s="41">
        <v>7000000</v>
      </c>
      <c r="AB149" s="19"/>
      <c r="AC149" s="34"/>
      <c r="AD149" s="40"/>
      <c r="AE149" s="41"/>
      <c r="AG149" s="34"/>
      <c r="AH149" s="40"/>
      <c r="AI149" s="41"/>
      <c r="AK149" s="34"/>
      <c r="AL149" s="40"/>
      <c r="AM149" s="41"/>
      <c r="AO149" s="34"/>
      <c r="AP149" s="40"/>
      <c r="AQ149" s="41"/>
      <c r="AS149" s="34"/>
      <c r="AT149" s="40"/>
      <c r="AU149" s="41"/>
      <c r="AW149" s="34"/>
      <c r="AX149" s="40"/>
      <c r="AY149" s="41"/>
      <c r="BA149" s="34"/>
      <c r="BB149" s="40"/>
      <c r="BC149" s="41"/>
      <c r="BE149" s="34"/>
      <c r="BF149" s="40"/>
      <c r="BG149" s="41"/>
      <c r="BI149" s="34"/>
      <c r="BJ149" s="40"/>
      <c r="BK149" s="41"/>
      <c r="BM149" s="38">
        <f t="shared" si="2"/>
        <v>27000000</v>
      </c>
      <c r="BN149" s="19"/>
    </row>
    <row r="150" spans="1:66" ht="15.75" hidden="1" x14ac:dyDescent="0.25">
      <c r="A150" s="29">
        <v>148</v>
      </c>
      <c r="B150" s="74" t="s">
        <v>487</v>
      </c>
      <c r="C150" s="12" t="s">
        <v>519</v>
      </c>
      <c r="D150" s="5" t="s">
        <v>279</v>
      </c>
      <c r="E150" s="50">
        <v>108</v>
      </c>
      <c r="F150" s="51">
        <v>148</v>
      </c>
      <c r="G150" s="50"/>
      <c r="I150" s="52"/>
      <c r="J150" s="53"/>
      <c r="K150" s="54"/>
      <c r="L150" s="58"/>
      <c r="M150" s="52">
        <v>80</v>
      </c>
      <c r="N150" s="59">
        <v>45615</v>
      </c>
      <c r="O150" s="60">
        <v>6000000</v>
      </c>
      <c r="P150" s="58"/>
      <c r="Q150" s="52">
        <v>81</v>
      </c>
      <c r="R150" s="59">
        <v>45615</v>
      </c>
      <c r="S150" s="60">
        <v>7000000</v>
      </c>
      <c r="T150" s="19"/>
      <c r="U150" s="34">
        <v>173</v>
      </c>
      <c r="V150" s="40">
        <v>45662</v>
      </c>
      <c r="W150" s="41">
        <v>7000000</v>
      </c>
      <c r="X150" s="19"/>
      <c r="Y150" s="34">
        <v>583</v>
      </c>
      <c r="Z150" s="40">
        <v>46123</v>
      </c>
      <c r="AA150" s="41">
        <v>7000000</v>
      </c>
      <c r="AB150" s="19"/>
      <c r="AC150" s="34"/>
      <c r="AD150" s="40"/>
      <c r="AE150" s="41"/>
      <c r="AG150" s="34"/>
      <c r="AH150" s="40"/>
      <c r="AI150" s="41"/>
      <c r="AK150" s="34"/>
      <c r="AL150" s="40"/>
      <c r="AM150" s="41"/>
      <c r="AO150" s="34"/>
      <c r="AP150" s="40"/>
      <c r="AQ150" s="41"/>
      <c r="AS150" s="34"/>
      <c r="AT150" s="40"/>
      <c r="AU150" s="41"/>
      <c r="AW150" s="34"/>
      <c r="AX150" s="40"/>
      <c r="AY150" s="41"/>
      <c r="BA150" s="34"/>
      <c r="BB150" s="40"/>
      <c r="BC150" s="41"/>
      <c r="BE150" s="34"/>
      <c r="BF150" s="40"/>
      <c r="BG150" s="41"/>
      <c r="BI150" s="34"/>
      <c r="BJ150" s="40"/>
      <c r="BK150" s="41"/>
      <c r="BM150" s="38">
        <f t="shared" si="2"/>
        <v>27000000</v>
      </c>
      <c r="BN150" s="19"/>
    </row>
    <row r="151" spans="1:66" ht="15.75" hidden="1" x14ac:dyDescent="0.25">
      <c r="A151" s="29">
        <v>149</v>
      </c>
      <c r="B151" s="74" t="s">
        <v>487</v>
      </c>
      <c r="C151" s="13" t="s">
        <v>520</v>
      </c>
      <c r="D151" s="18" t="s">
        <v>521</v>
      </c>
      <c r="E151" s="16">
        <v>101</v>
      </c>
      <c r="F151" s="33">
        <v>149</v>
      </c>
      <c r="G151" s="16"/>
      <c r="I151" s="34"/>
      <c r="J151" s="35"/>
      <c r="K151" s="36"/>
      <c r="L151" s="19"/>
      <c r="M151" s="34">
        <v>120</v>
      </c>
      <c r="N151" s="40">
        <v>45577</v>
      </c>
      <c r="O151" s="41">
        <v>6000000</v>
      </c>
      <c r="P151" s="19"/>
      <c r="Q151" s="34">
        <v>4</v>
      </c>
      <c r="R151" s="40">
        <v>45637</v>
      </c>
      <c r="S151" s="41">
        <v>7000000</v>
      </c>
      <c r="T151" s="19"/>
      <c r="U151" s="34">
        <v>123</v>
      </c>
      <c r="V151" s="40">
        <v>45637</v>
      </c>
      <c r="W151" s="41">
        <v>7000000</v>
      </c>
      <c r="X151" s="19"/>
      <c r="Y151" s="34">
        <v>531</v>
      </c>
      <c r="Z151" s="104">
        <v>46051</v>
      </c>
      <c r="AA151" s="41">
        <v>7000000</v>
      </c>
      <c r="AB151" s="19"/>
      <c r="AC151" s="34"/>
      <c r="AD151" s="40"/>
      <c r="AE151" s="41"/>
      <c r="AG151" s="34"/>
      <c r="AH151" s="40"/>
      <c r="AI151" s="41"/>
      <c r="AK151" s="34"/>
      <c r="AL151" s="40"/>
      <c r="AM151" s="41"/>
      <c r="AO151" s="34"/>
      <c r="AP151" s="40"/>
      <c r="AQ151" s="41"/>
      <c r="AS151" s="34"/>
      <c r="AT151" s="40"/>
      <c r="AU151" s="41"/>
      <c r="AW151" s="34"/>
      <c r="AX151" s="40"/>
      <c r="AY151" s="41"/>
      <c r="BA151" s="34"/>
      <c r="BB151" s="40"/>
      <c r="BC151" s="41"/>
      <c r="BE151" s="34"/>
      <c r="BF151" s="40"/>
      <c r="BG151" s="41"/>
      <c r="BI151" s="34"/>
      <c r="BJ151" s="40"/>
      <c r="BK151" s="41"/>
      <c r="BM151" s="38">
        <f t="shared" si="2"/>
        <v>27000000</v>
      </c>
      <c r="BN151" s="19"/>
    </row>
    <row r="152" spans="1:66" ht="15.75" hidden="1" x14ac:dyDescent="0.25">
      <c r="A152" s="29">
        <v>150</v>
      </c>
      <c r="B152" s="74" t="s">
        <v>487</v>
      </c>
      <c r="C152" s="12" t="s">
        <v>522</v>
      </c>
      <c r="D152" s="5" t="s">
        <v>523</v>
      </c>
      <c r="E152" s="50">
        <v>104</v>
      </c>
      <c r="F152" s="51">
        <v>150</v>
      </c>
      <c r="G152" s="50"/>
      <c r="I152" s="52"/>
      <c r="J152" s="53"/>
      <c r="K152" s="54"/>
      <c r="L152" s="58"/>
      <c r="M152" s="52">
        <v>90</v>
      </c>
      <c r="N152" s="59">
        <v>45621</v>
      </c>
      <c r="O152" s="60">
        <v>6000000</v>
      </c>
      <c r="P152" s="58"/>
      <c r="Q152" s="52" t="s">
        <v>524</v>
      </c>
      <c r="R152" s="59">
        <v>45621</v>
      </c>
      <c r="S152" s="60">
        <v>7000000</v>
      </c>
      <c r="T152" s="19"/>
      <c r="U152" s="34" t="s">
        <v>525</v>
      </c>
      <c r="V152" s="40">
        <v>45678</v>
      </c>
      <c r="W152" s="41">
        <v>7000000</v>
      </c>
      <c r="X152" s="19"/>
      <c r="Y152" s="34">
        <v>631</v>
      </c>
      <c r="Z152" s="40">
        <v>46216</v>
      </c>
      <c r="AA152" s="41">
        <v>7000000</v>
      </c>
      <c r="AB152" s="19"/>
      <c r="AC152" s="34"/>
      <c r="AD152" s="40"/>
      <c r="AE152" s="41"/>
      <c r="AG152" s="34"/>
      <c r="AH152" s="40"/>
      <c r="AI152" s="41"/>
      <c r="AK152" s="34"/>
      <c r="AL152" s="40"/>
      <c r="AM152" s="41"/>
      <c r="AO152" s="34"/>
      <c r="AP152" s="40"/>
      <c r="AQ152" s="41"/>
      <c r="AS152" s="34"/>
      <c r="AT152" s="40"/>
      <c r="AU152" s="41"/>
      <c r="AW152" s="34"/>
      <c r="AX152" s="40"/>
      <c r="AY152" s="41"/>
      <c r="BA152" s="34"/>
      <c r="BB152" s="40"/>
      <c r="BC152" s="41"/>
      <c r="BE152" s="34"/>
      <c r="BF152" s="40"/>
      <c r="BG152" s="41"/>
      <c r="BI152" s="34"/>
      <c r="BJ152" s="40"/>
      <c r="BK152" s="41"/>
      <c r="BM152" s="38">
        <f t="shared" si="2"/>
        <v>27000000</v>
      </c>
      <c r="BN152" s="19"/>
    </row>
    <row r="153" spans="1:66" ht="15.75" hidden="1" x14ac:dyDescent="0.25">
      <c r="A153" s="29">
        <v>151</v>
      </c>
      <c r="B153" s="74" t="s">
        <v>487</v>
      </c>
      <c r="C153" s="12" t="s">
        <v>526</v>
      </c>
      <c r="D153" s="5" t="s">
        <v>418</v>
      </c>
      <c r="E153" s="50">
        <v>83</v>
      </c>
      <c r="F153" s="51">
        <v>151</v>
      </c>
      <c r="G153" s="50"/>
      <c r="I153" s="52"/>
      <c r="J153" s="53"/>
      <c r="K153" s="54"/>
      <c r="L153" s="58"/>
      <c r="M153" s="52">
        <v>108</v>
      </c>
      <c r="N153" s="59">
        <v>45628</v>
      </c>
      <c r="O153" s="60">
        <v>6000000</v>
      </c>
      <c r="P153" s="58"/>
      <c r="Q153" s="52">
        <v>109</v>
      </c>
      <c r="R153" s="59">
        <v>45628</v>
      </c>
      <c r="S153" s="60">
        <v>7000000</v>
      </c>
      <c r="T153" s="19"/>
      <c r="U153" s="34">
        <v>271</v>
      </c>
      <c r="V153" s="40">
        <v>45717</v>
      </c>
      <c r="W153" s="41">
        <v>7000000</v>
      </c>
      <c r="X153" s="19"/>
      <c r="Y153" s="34">
        <v>541</v>
      </c>
      <c r="Z153" s="40">
        <v>46067</v>
      </c>
      <c r="AA153" s="41">
        <v>7000000</v>
      </c>
      <c r="AB153" s="19"/>
      <c r="AC153" s="34">
        <v>542</v>
      </c>
      <c r="AD153" s="40">
        <v>46067</v>
      </c>
      <c r="AE153" s="41">
        <v>8000000</v>
      </c>
      <c r="AG153" s="34"/>
      <c r="AH153" s="40"/>
      <c r="AI153" s="41"/>
      <c r="AK153" s="34"/>
      <c r="AL153" s="40"/>
      <c r="AM153" s="41"/>
      <c r="AO153" s="34"/>
      <c r="AP153" s="40"/>
      <c r="AQ153" s="41"/>
      <c r="AS153" s="34"/>
      <c r="AT153" s="40"/>
      <c r="AU153" s="41"/>
      <c r="AW153" s="34"/>
      <c r="AX153" s="40"/>
      <c r="AY153" s="41"/>
      <c r="BA153" s="34"/>
      <c r="BB153" s="40"/>
      <c r="BC153" s="41"/>
      <c r="BE153" s="34"/>
      <c r="BF153" s="40"/>
      <c r="BG153" s="41"/>
      <c r="BI153" s="34"/>
      <c r="BJ153" s="40"/>
      <c r="BK153" s="41"/>
      <c r="BM153" s="38">
        <f t="shared" si="2"/>
        <v>35000000</v>
      </c>
      <c r="BN153" s="19"/>
    </row>
    <row r="154" spans="1:66" ht="15.75" hidden="1" x14ac:dyDescent="0.25">
      <c r="A154" s="29">
        <v>152</v>
      </c>
      <c r="B154" s="78" t="s">
        <v>527</v>
      </c>
      <c r="C154" s="12" t="s">
        <v>528</v>
      </c>
      <c r="D154" s="18" t="s">
        <v>529</v>
      </c>
      <c r="E154" s="16">
        <v>74</v>
      </c>
      <c r="F154" s="33">
        <v>152</v>
      </c>
      <c r="G154" s="16"/>
      <c r="I154" s="34" t="s">
        <v>530</v>
      </c>
      <c r="J154" s="35">
        <v>45713</v>
      </c>
      <c r="K154" s="36">
        <v>8000000</v>
      </c>
      <c r="L154" s="19"/>
      <c r="M154" s="34">
        <v>278</v>
      </c>
      <c r="N154" s="40">
        <v>45721</v>
      </c>
      <c r="O154" s="41">
        <v>6000000</v>
      </c>
      <c r="P154" s="19"/>
      <c r="Q154" s="34">
        <v>279</v>
      </c>
      <c r="R154" s="40">
        <v>45721</v>
      </c>
      <c r="S154" s="41">
        <v>7000000</v>
      </c>
      <c r="T154" s="19"/>
      <c r="U154" s="34">
        <v>280</v>
      </c>
      <c r="V154" s="40">
        <v>45721</v>
      </c>
      <c r="W154" s="41">
        <v>7000000</v>
      </c>
      <c r="X154" s="19"/>
      <c r="Y154" s="34">
        <v>554</v>
      </c>
      <c r="Z154" s="40">
        <v>46079</v>
      </c>
      <c r="AA154" s="41">
        <v>7000000</v>
      </c>
      <c r="AB154" s="19"/>
      <c r="AC154" s="34"/>
      <c r="AD154" s="40"/>
      <c r="AE154" s="41"/>
      <c r="AG154" s="34"/>
      <c r="AH154" s="40"/>
      <c r="AI154" s="41"/>
      <c r="AK154" s="34"/>
      <c r="AL154" s="40"/>
      <c r="AM154" s="41"/>
      <c r="AO154" s="34"/>
      <c r="AP154" s="40"/>
      <c r="AQ154" s="41"/>
      <c r="AS154" s="34"/>
      <c r="AT154" s="40"/>
      <c r="AU154" s="41"/>
      <c r="AW154" s="34"/>
      <c r="AX154" s="40"/>
      <c r="AY154" s="41"/>
      <c r="BA154" s="34"/>
      <c r="BB154" s="40"/>
      <c r="BC154" s="41"/>
      <c r="BE154" s="34"/>
      <c r="BF154" s="40"/>
      <c r="BG154" s="41"/>
      <c r="BI154" s="34"/>
      <c r="BJ154" s="40"/>
      <c r="BK154" s="41"/>
      <c r="BM154" s="38">
        <f t="shared" si="2"/>
        <v>35000000</v>
      </c>
      <c r="BN154" s="19"/>
    </row>
    <row r="155" spans="1:66" ht="15.75" x14ac:dyDescent="0.25">
      <c r="A155" s="29">
        <v>153</v>
      </c>
      <c r="B155" s="79" t="s">
        <v>527</v>
      </c>
      <c r="C155" s="13" t="s">
        <v>531</v>
      </c>
      <c r="D155" s="18" t="s">
        <v>532</v>
      </c>
      <c r="E155" s="16">
        <v>112</v>
      </c>
      <c r="F155" s="33">
        <v>153</v>
      </c>
      <c r="G155" s="16"/>
      <c r="I155" s="34"/>
      <c r="J155" s="35"/>
      <c r="K155" s="36"/>
      <c r="L155" s="19"/>
      <c r="M155" s="34">
        <v>121</v>
      </c>
      <c r="N155" s="40">
        <v>45577</v>
      </c>
      <c r="O155" s="41">
        <v>6000000</v>
      </c>
      <c r="P155" s="19"/>
      <c r="Q155" s="34">
        <v>3</v>
      </c>
      <c r="R155" s="40">
        <v>45637</v>
      </c>
      <c r="S155" s="41">
        <v>7000000</v>
      </c>
      <c r="T155" s="19"/>
      <c r="U155" s="34">
        <v>282</v>
      </c>
      <c r="V155" s="40">
        <v>45721</v>
      </c>
      <c r="W155" s="41">
        <v>7000000</v>
      </c>
      <c r="X155" s="19"/>
      <c r="Y155" s="34">
        <v>529</v>
      </c>
      <c r="Z155" s="40">
        <v>46051</v>
      </c>
      <c r="AA155" s="41">
        <v>7000000</v>
      </c>
      <c r="AB155" s="19"/>
      <c r="AC155" s="34">
        <v>530</v>
      </c>
      <c r="AD155" s="40">
        <v>46051</v>
      </c>
      <c r="AE155" s="41">
        <v>6000000</v>
      </c>
      <c r="AG155" s="34"/>
      <c r="AH155" s="40"/>
      <c r="AI155" s="41"/>
      <c r="AK155" s="34"/>
      <c r="AL155" s="40"/>
      <c r="AM155" s="41"/>
      <c r="AO155" s="34"/>
      <c r="AP155" s="40"/>
      <c r="AQ155" s="41"/>
      <c r="AS155" s="34"/>
      <c r="AT155" s="40"/>
      <c r="AU155" s="41"/>
      <c r="AW155" s="34"/>
      <c r="AX155" s="40"/>
      <c r="AY155" s="41"/>
      <c r="BA155" s="34"/>
      <c r="BB155" s="40"/>
      <c r="BC155" s="41"/>
      <c r="BE155" s="34"/>
      <c r="BF155" s="40"/>
      <c r="BG155" s="41"/>
      <c r="BI155" s="34"/>
      <c r="BJ155" s="40"/>
      <c r="BK155" s="41"/>
      <c r="BM155" s="38">
        <f t="shared" si="2"/>
        <v>33000000</v>
      </c>
      <c r="BN155" s="19"/>
    </row>
    <row r="156" spans="1:66" ht="15.75" hidden="1" x14ac:dyDescent="0.25">
      <c r="A156" s="29">
        <v>154</v>
      </c>
      <c r="B156" s="79" t="s">
        <v>527</v>
      </c>
      <c r="C156" s="234" t="s">
        <v>1730</v>
      </c>
      <c r="D156" s="5" t="s">
        <v>533</v>
      </c>
      <c r="E156" s="50">
        <v>114</v>
      </c>
      <c r="F156" s="51">
        <v>154</v>
      </c>
      <c r="G156" s="50"/>
      <c r="I156" s="52">
        <v>627</v>
      </c>
      <c r="J156" s="53">
        <v>46202</v>
      </c>
      <c r="K156" s="54">
        <v>70000000</v>
      </c>
      <c r="L156" s="58"/>
      <c r="M156" s="52">
        <v>636</v>
      </c>
      <c r="N156" s="59">
        <v>46228</v>
      </c>
      <c r="O156" s="60">
        <v>135000000</v>
      </c>
      <c r="P156" s="19"/>
      <c r="Q156" s="34"/>
      <c r="R156" s="40"/>
      <c r="S156" s="41"/>
      <c r="T156" s="19"/>
      <c r="U156" s="34"/>
      <c r="V156" s="40"/>
      <c r="W156" s="41"/>
      <c r="X156" s="19"/>
      <c r="Y156" s="34"/>
      <c r="Z156" s="40"/>
      <c r="AA156" s="41"/>
      <c r="AB156" s="19"/>
      <c r="AC156" s="34"/>
      <c r="AD156" s="40"/>
      <c r="AE156" s="41"/>
      <c r="AG156" s="34"/>
      <c r="AH156" s="40"/>
      <c r="AI156" s="41"/>
      <c r="AK156" s="34"/>
      <c r="AL156" s="40"/>
      <c r="AM156" s="41"/>
      <c r="AO156" s="34"/>
      <c r="AP156" s="40"/>
      <c r="AQ156" s="41"/>
      <c r="AS156" s="34"/>
      <c r="AT156" s="40"/>
      <c r="AU156" s="41"/>
      <c r="AW156" s="34"/>
      <c r="AX156" s="40"/>
      <c r="AY156" s="41"/>
      <c r="BA156" s="34"/>
      <c r="BB156" s="40"/>
      <c r="BC156" s="41"/>
      <c r="BE156" s="34"/>
      <c r="BF156" s="40"/>
      <c r="BG156" s="41"/>
      <c r="BI156" s="34"/>
      <c r="BJ156" s="40"/>
      <c r="BK156" s="41"/>
      <c r="BM156" s="38">
        <f t="shared" si="2"/>
        <v>205000000</v>
      </c>
      <c r="BN156" s="19"/>
    </row>
    <row r="157" spans="1:66" ht="15.75" hidden="1" x14ac:dyDescent="0.25">
      <c r="A157" s="29">
        <v>155</v>
      </c>
      <c r="B157" s="79" t="s">
        <v>527</v>
      </c>
      <c r="C157" s="12" t="s">
        <v>264</v>
      </c>
      <c r="D157" s="5" t="s">
        <v>534</v>
      </c>
      <c r="E157" s="50">
        <v>117</v>
      </c>
      <c r="F157" s="51">
        <v>155</v>
      </c>
      <c r="G157" s="56" t="s">
        <v>265</v>
      </c>
      <c r="I157" s="52">
        <v>461</v>
      </c>
      <c r="J157" s="53">
        <v>45981</v>
      </c>
      <c r="K157" s="54">
        <v>120000000</v>
      </c>
      <c r="L157" s="58"/>
      <c r="M157" s="52"/>
      <c r="N157" s="59"/>
      <c r="O157" s="60"/>
      <c r="P157" s="19"/>
      <c r="Q157" s="34"/>
      <c r="R157" s="40"/>
      <c r="S157" s="41"/>
      <c r="T157" s="19"/>
      <c r="U157" s="34"/>
      <c r="V157" s="40"/>
      <c r="W157" s="41"/>
      <c r="X157" s="19"/>
      <c r="Y157" s="34"/>
      <c r="Z157" s="40"/>
      <c r="AA157" s="41"/>
      <c r="AB157" s="19"/>
      <c r="AC157" s="34"/>
      <c r="AD157" s="40"/>
      <c r="AE157" s="41"/>
      <c r="AG157" s="34"/>
      <c r="AH157" s="40"/>
      <c r="AI157" s="41"/>
      <c r="AK157" s="34"/>
      <c r="AL157" s="40"/>
      <c r="AM157" s="41"/>
      <c r="AO157" s="34"/>
      <c r="AP157" s="40"/>
      <c r="AQ157" s="41"/>
      <c r="AS157" s="34"/>
      <c r="AT157" s="40"/>
      <c r="AU157" s="41"/>
      <c r="AW157" s="34"/>
      <c r="AX157" s="40"/>
      <c r="AY157" s="41"/>
      <c r="BA157" s="34"/>
      <c r="BB157" s="40"/>
      <c r="BC157" s="41"/>
      <c r="BE157" s="34"/>
      <c r="BF157" s="40"/>
      <c r="BG157" s="41"/>
      <c r="BI157" s="34"/>
      <c r="BJ157" s="40"/>
      <c r="BK157" s="41"/>
      <c r="BM157" s="38">
        <f t="shared" ref="BM157:BM185" si="3">SUM(K157,O157,S157,W157,AA157,AE157,AI157,AM157,AQ157,AU157,AY157,BC157,BG157,BK157)</f>
        <v>120000000</v>
      </c>
      <c r="BN157" s="19"/>
    </row>
    <row r="158" spans="1:66" ht="15.75" hidden="1" x14ac:dyDescent="0.25">
      <c r="A158" s="29">
        <v>156</v>
      </c>
      <c r="B158" s="79" t="s">
        <v>527</v>
      </c>
      <c r="C158" s="12" t="s">
        <v>535</v>
      </c>
      <c r="D158" s="5" t="s">
        <v>536</v>
      </c>
      <c r="E158" s="50">
        <v>121</v>
      </c>
      <c r="F158" s="51">
        <v>156</v>
      </c>
      <c r="G158" s="50"/>
      <c r="I158" s="52"/>
      <c r="J158" s="53"/>
      <c r="K158" s="54"/>
      <c r="L158" s="58"/>
      <c r="M158" s="52">
        <v>106</v>
      </c>
      <c r="N158" s="59">
        <v>45627</v>
      </c>
      <c r="O158" s="60">
        <v>6000000</v>
      </c>
      <c r="P158" s="19"/>
      <c r="Q158" s="34">
        <v>190</v>
      </c>
      <c r="R158" s="40">
        <v>45673</v>
      </c>
      <c r="S158" s="41">
        <v>7000000</v>
      </c>
      <c r="T158" s="19"/>
      <c r="U158" s="34">
        <v>204</v>
      </c>
      <c r="V158" s="40">
        <v>45687</v>
      </c>
      <c r="W158" s="41">
        <v>7000000</v>
      </c>
      <c r="X158" s="19"/>
      <c r="Y158" s="34"/>
      <c r="Z158" s="40"/>
      <c r="AA158" s="41"/>
      <c r="AB158" s="19"/>
      <c r="AC158" s="34"/>
      <c r="AD158" s="40"/>
      <c r="AE158" s="41"/>
      <c r="AG158" s="34"/>
      <c r="AH158" s="40"/>
      <c r="AI158" s="41"/>
      <c r="AK158" s="34"/>
      <c r="AL158" s="40"/>
      <c r="AM158" s="41"/>
      <c r="AO158" s="34"/>
      <c r="AP158" s="40"/>
      <c r="AQ158" s="41"/>
      <c r="AS158" s="34"/>
      <c r="AT158" s="40"/>
      <c r="AU158" s="41"/>
      <c r="AW158" s="34"/>
      <c r="AX158" s="40"/>
      <c r="AY158" s="41"/>
      <c r="BA158" s="34"/>
      <c r="BB158" s="40"/>
      <c r="BC158" s="41"/>
      <c r="BE158" s="34"/>
      <c r="BF158" s="40"/>
      <c r="BG158" s="41"/>
      <c r="BI158" s="34"/>
      <c r="BJ158" s="40"/>
      <c r="BK158" s="41"/>
      <c r="BM158" s="38">
        <f t="shared" si="3"/>
        <v>20000000</v>
      </c>
      <c r="BN158" s="19"/>
    </row>
    <row r="159" spans="1:66" ht="15.75" hidden="1" x14ac:dyDescent="0.25">
      <c r="A159" s="29">
        <v>157</v>
      </c>
      <c r="B159" s="79" t="s">
        <v>527</v>
      </c>
      <c r="C159" s="12" t="s">
        <v>537</v>
      </c>
      <c r="D159" s="5" t="s">
        <v>538</v>
      </c>
      <c r="E159" s="50">
        <v>123</v>
      </c>
      <c r="F159" s="51">
        <v>157</v>
      </c>
      <c r="G159" s="50"/>
      <c r="I159" s="52"/>
      <c r="J159" s="53"/>
      <c r="K159" s="54"/>
      <c r="L159" s="58"/>
      <c r="M159" s="52">
        <v>249</v>
      </c>
      <c r="N159" s="59">
        <v>45706</v>
      </c>
      <c r="O159" s="60">
        <v>6000000</v>
      </c>
      <c r="P159" s="19"/>
      <c r="Q159" s="34" t="s">
        <v>539</v>
      </c>
      <c r="R159" s="40">
        <v>45706</v>
      </c>
      <c r="S159" s="41">
        <v>7000000</v>
      </c>
      <c r="T159" s="19"/>
      <c r="U159" s="34" t="s">
        <v>540</v>
      </c>
      <c r="V159" s="40">
        <v>45752</v>
      </c>
      <c r="W159" s="41">
        <v>7000000</v>
      </c>
      <c r="X159" s="19"/>
      <c r="Y159" s="34"/>
      <c r="Z159" s="40"/>
      <c r="AA159" s="41"/>
      <c r="AB159" s="19"/>
      <c r="AC159" s="34"/>
      <c r="AD159" s="40"/>
      <c r="AE159" s="41"/>
      <c r="AG159" s="34"/>
      <c r="AH159" s="40"/>
      <c r="AI159" s="41"/>
      <c r="AK159" s="34"/>
      <c r="AL159" s="40"/>
      <c r="AM159" s="41"/>
      <c r="AO159" s="34"/>
      <c r="AP159" s="40"/>
      <c r="AQ159" s="41"/>
      <c r="AS159" s="34"/>
      <c r="AT159" s="40"/>
      <c r="AU159" s="41"/>
      <c r="AW159" s="34"/>
      <c r="AX159" s="40"/>
      <c r="AY159" s="41"/>
      <c r="BA159" s="34"/>
      <c r="BB159" s="40"/>
      <c r="BC159" s="41"/>
      <c r="BE159" s="34"/>
      <c r="BF159" s="40"/>
      <c r="BG159" s="41"/>
      <c r="BI159" s="34"/>
      <c r="BJ159" s="40"/>
      <c r="BK159" s="41"/>
      <c r="BM159" s="38">
        <f t="shared" si="3"/>
        <v>20000000</v>
      </c>
      <c r="BN159" s="19"/>
    </row>
    <row r="160" spans="1:66" ht="15.75" hidden="1" x14ac:dyDescent="0.25">
      <c r="A160" s="29">
        <v>158</v>
      </c>
      <c r="B160" s="79" t="s">
        <v>527</v>
      </c>
      <c r="C160" s="12" t="s">
        <v>541</v>
      </c>
      <c r="D160" s="5" t="s">
        <v>542</v>
      </c>
      <c r="E160" s="50">
        <v>100</v>
      </c>
      <c r="F160" s="51">
        <v>158</v>
      </c>
      <c r="G160" s="50"/>
      <c r="I160" s="52"/>
      <c r="J160" s="53"/>
      <c r="K160" s="54"/>
      <c r="L160" s="58"/>
      <c r="M160" s="52">
        <v>126</v>
      </c>
      <c r="N160" s="59">
        <v>45640</v>
      </c>
      <c r="O160" s="60">
        <v>6000000</v>
      </c>
      <c r="P160" s="19"/>
      <c r="Q160" s="34">
        <v>127</v>
      </c>
      <c r="R160" s="40">
        <v>45640</v>
      </c>
      <c r="S160" s="41">
        <v>7000000</v>
      </c>
      <c r="T160" s="19"/>
      <c r="U160" s="34">
        <v>220</v>
      </c>
      <c r="V160" s="40">
        <v>45696</v>
      </c>
      <c r="W160" s="41">
        <v>7000000</v>
      </c>
      <c r="X160" s="19"/>
      <c r="Y160" s="34"/>
      <c r="Z160" s="40"/>
      <c r="AA160" s="41"/>
      <c r="AB160" s="19"/>
      <c r="AC160" s="34"/>
      <c r="AD160" s="40"/>
      <c r="AE160" s="41"/>
      <c r="AG160" s="34"/>
      <c r="AH160" s="40"/>
      <c r="AI160" s="41"/>
      <c r="AK160" s="34"/>
      <c r="AL160" s="40"/>
      <c r="AM160" s="41"/>
      <c r="AO160" s="34"/>
      <c r="AP160" s="40"/>
      <c r="AQ160" s="41"/>
      <c r="AS160" s="34"/>
      <c r="AT160" s="40"/>
      <c r="AU160" s="41"/>
      <c r="AW160" s="34"/>
      <c r="AX160" s="40"/>
      <c r="AY160" s="41"/>
      <c r="BA160" s="34"/>
      <c r="BB160" s="40"/>
      <c r="BC160" s="41"/>
      <c r="BE160" s="34"/>
      <c r="BF160" s="40"/>
      <c r="BG160" s="41"/>
      <c r="BI160" s="34"/>
      <c r="BJ160" s="40"/>
      <c r="BK160" s="41"/>
      <c r="BM160" s="38">
        <f t="shared" si="3"/>
        <v>20000000</v>
      </c>
      <c r="BN160" s="19"/>
    </row>
    <row r="161" spans="1:66" ht="15.75" hidden="1" x14ac:dyDescent="0.25">
      <c r="A161" s="29">
        <v>159</v>
      </c>
      <c r="B161" s="79" t="s">
        <v>527</v>
      </c>
      <c r="C161" s="12" t="s">
        <v>543</v>
      </c>
      <c r="D161" s="5" t="s">
        <v>544</v>
      </c>
      <c r="E161" s="50">
        <v>113</v>
      </c>
      <c r="F161" s="51">
        <v>159</v>
      </c>
      <c r="G161" s="50"/>
      <c r="I161" s="52"/>
      <c r="J161" s="53"/>
      <c r="K161" s="54"/>
      <c r="L161" s="58"/>
      <c r="M161" s="52">
        <v>136</v>
      </c>
      <c r="N161" s="59">
        <v>45642</v>
      </c>
      <c r="O161" s="60">
        <v>6000000</v>
      </c>
      <c r="P161" s="19"/>
      <c r="Q161" s="34">
        <v>223</v>
      </c>
      <c r="R161" s="40">
        <v>45697</v>
      </c>
      <c r="S161" s="41">
        <v>7000000</v>
      </c>
      <c r="T161" s="19"/>
      <c r="U161" s="34">
        <v>224</v>
      </c>
      <c r="V161" s="40">
        <v>45697</v>
      </c>
      <c r="W161" s="41">
        <v>7000000</v>
      </c>
      <c r="X161" s="19"/>
      <c r="Y161" s="34"/>
      <c r="Z161" s="40"/>
      <c r="AA161" s="41"/>
      <c r="AB161" s="19"/>
      <c r="AC161" s="34"/>
      <c r="AD161" s="40"/>
      <c r="AE161" s="41"/>
      <c r="AG161" s="34"/>
      <c r="AH161" s="40"/>
      <c r="AI161" s="41"/>
      <c r="AK161" s="34"/>
      <c r="AL161" s="40"/>
      <c r="AM161" s="41"/>
      <c r="AO161" s="34"/>
      <c r="AP161" s="40"/>
      <c r="AQ161" s="41"/>
      <c r="AS161" s="34"/>
      <c r="AT161" s="40"/>
      <c r="AU161" s="41"/>
      <c r="AW161" s="34"/>
      <c r="AX161" s="40"/>
      <c r="AY161" s="41"/>
      <c r="BA161" s="34"/>
      <c r="BB161" s="40"/>
      <c r="BC161" s="41"/>
      <c r="BE161" s="34"/>
      <c r="BF161" s="40"/>
      <c r="BG161" s="41"/>
      <c r="BI161" s="34"/>
      <c r="BJ161" s="40"/>
      <c r="BK161" s="41"/>
      <c r="BM161" s="38">
        <f t="shared" si="3"/>
        <v>20000000</v>
      </c>
      <c r="BN161" s="19"/>
    </row>
    <row r="162" spans="1:66" ht="15.75" hidden="1" x14ac:dyDescent="0.25">
      <c r="A162" s="29">
        <v>160</v>
      </c>
      <c r="B162" s="79" t="s">
        <v>527</v>
      </c>
      <c r="C162" s="12" t="s">
        <v>545</v>
      </c>
      <c r="D162" s="5" t="s">
        <v>546</v>
      </c>
      <c r="E162" s="50">
        <v>116</v>
      </c>
      <c r="F162" s="51">
        <v>160</v>
      </c>
      <c r="G162" s="50"/>
      <c r="I162" s="52"/>
      <c r="J162" s="53"/>
      <c r="K162" s="54"/>
      <c r="L162" s="58"/>
      <c r="M162" s="52">
        <v>105</v>
      </c>
      <c r="N162" s="59">
        <v>45627</v>
      </c>
      <c r="O162" s="60">
        <v>6000000</v>
      </c>
      <c r="P162" s="19"/>
      <c r="Q162" s="34">
        <v>161</v>
      </c>
      <c r="R162" s="40">
        <v>45657</v>
      </c>
      <c r="S162" s="41">
        <v>7000000</v>
      </c>
      <c r="T162" s="19"/>
      <c r="U162" s="34" t="s">
        <v>547</v>
      </c>
      <c r="V162" s="40">
        <v>45697</v>
      </c>
      <c r="W162" s="41">
        <v>7000000</v>
      </c>
      <c r="X162" s="19"/>
      <c r="Y162" s="34">
        <v>502</v>
      </c>
      <c r="Z162" s="40">
        <v>46014</v>
      </c>
      <c r="AA162" s="41">
        <v>7000000</v>
      </c>
      <c r="AB162" s="19"/>
      <c r="AC162" s="34">
        <v>598</v>
      </c>
      <c r="AD162" s="40">
        <v>46153</v>
      </c>
      <c r="AE162" s="41">
        <v>6000000</v>
      </c>
      <c r="AG162" s="34"/>
      <c r="AH162" s="40"/>
      <c r="AI162" s="41"/>
      <c r="AK162" s="34"/>
      <c r="AL162" s="40"/>
      <c r="AM162" s="41"/>
      <c r="AO162" s="34"/>
      <c r="AP162" s="40"/>
      <c r="AQ162" s="41"/>
      <c r="AS162" s="34"/>
      <c r="AT162" s="40"/>
      <c r="AU162" s="41"/>
      <c r="AW162" s="34"/>
      <c r="AX162" s="40"/>
      <c r="AY162" s="41"/>
      <c r="BA162" s="34"/>
      <c r="BB162" s="40"/>
      <c r="BC162" s="41"/>
      <c r="BE162" s="34"/>
      <c r="BF162" s="40"/>
      <c r="BG162" s="41"/>
      <c r="BI162" s="34"/>
      <c r="BJ162" s="40"/>
      <c r="BK162" s="41"/>
      <c r="BM162" s="38">
        <f t="shared" si="3"/>
        <v>33000000</v>
      </c>
      <c r="BN162" s="19"/>
    </row>
    <row r="163" spans="1:66" ht="15.75" hidden="1" x14ac:dyDescent="0.25">
      <c r="A163" s="29">
        <v>161</v>
      </c>
      <c r="B163" s="79" t="s">
        <v>527</v>
      </c>
      <c r="C163" s="12" t="s">
        <v>548</v>
      </c>
      <c r="D163" s="5" t="s">
        <v>242</v>
      </c>
      <c r="E163" s="50">
        <v>118</v>
      </c>
      <c r="F163" s="51">
        <v>161</v>
      </c>
      <c r="G163" s="56" t="s">
        <v>265</v>
      </c>
      <c r="I163" s="34">
        <v>305</v>
      </c>
      <c r="J163" s="35">
        <v>45743</v>
      </c>
      <c r="K163" s="36" t="s">
        <v>265</v>
      </c>
      <c r="L163" s="19"/>
      <c r="M163" s="34"/>
      <c r="N163" s="40"/>
      <c r="O163" s="41"/>
      <c r="P163" s="19"/>
      <c r="Q163" s="34"/>
      <c r="R163" s="40"/>
      <c r="S163" s="41"/>
      <c r="T163" s="19"/>
      <c r="U163" s="34"/>
      <c r="V163" s="40"/>
      <c r="W163" s="41"/>
      <c r="X163" s="19"/>
      <c r="Y163" s="34"/>
      <c r="Z163" s="40"/>
      <c r="AA163" s="41"/>
      <c r="AB163" s="19"/>
      <c r="AC163" s="34"/>
      <c r="AD163" s="40"/>
      <c r="AE163" s="41"/>
      <c r="AG163" s="34"/>
      <c r="AH163" s="40"/>
      <c r="AI163" s="41"/>
      <c r="AK163" s="34"/>
      <c r="AL163" s="40"/>
      <c r="AM163" s="41"/>
      <c r="AO163" s="34"/>
      <c r="AP163" s="40"/>
      <c r="AQ163" s="41"/>
      <c r="AS163" s="34"/>
      <c r="AT163" s="40"/>
      <c r="AU163" s="41"/>
      <c r="AW163" s="34"/>
      <c r="AX163" s="40"/>
      <c r="AY163" s="41"/>
      <c r="BA163" s="34"/>
      <c r="BB163" s="40"/>
      <c r="BC163" s="41"/>
      <c r="BE163" s="34"/>
      <c r="BF163" s="40"/>
      <c r="BG163" s="41"/>
      <c r="BI163" s="34"/>
      <c r="BJ163" s="40"/>
      <c r="BK163" s="41"/>
      <c r="BM163" s="38">
        <f t="shared" si="3"/>
        <v>0</v>
      </c>
      <c r="BN163" s="19"/>
    </row>
    <row r="164" spans="1:66" ht="15.75" hidden="1" x14ac:dyDescent="0.25">
      <c r="A164" s="29">
        <v>162</v>
      </c>
      <c r="B164" s="79" t="s">
        <v>527</v>
      </c>
      <c r="C164" s="13" t="s">
        <v>549</v>
      </c>
      <c r="D164" s="18" t="s">
        <v>550</v>
      </c>
      <c r="E164" s="16">
        <v>122</v>
      </c>
      <c r="F164" s="33">
        <v>162</v>
      </c>
      <c r="G164" s="16"/>
      <c r="I164" s="34"/>
      <c r="J164" s="35"/>
      <c r="K164" s="36"/>
      <c r="L164" s="19"/>
      <c r="M164" s="34">
        <v>117</v>
      </c>
      <c r="N164" s="40">
        <v>45636</v>
      </c>
      <c r="O164" s="41">
        <v>6000000</v>
      </c>
      <c r="P164" s="19"/>
      <c r="Q164" s="34">
        <v>118</v>
      </c>
      <c r="R164" s="40">
        <v>45636</v>
      </c>
      <c r="S164" s="41">
        <v>7000000</v>
      </c>
      <c r="T164" s="19"/>
      <c r="U164" s="34">
        <v>187</v>
      </c>
      <c r="V164" s="40">
        <v>45671</v>
      </c>
      <c r="W164" s="41">
        <v>7000000</v>
      </c>
      <c r="X164" s="19"/>
      <c r="Y164" s="34">
        <v>540</v>
      </c>
      <c r="Z164" s="40">
        <v>46067</v>
      </c>
      <c r="AA164" s="41">
        <v>7000000</v>
      </c>
      <c r="AB164" s="19"/>
      <c r="AC164" s="34"/>
      <c r="AD164" s="40"/>
      <c r="AE164" s="41"/>
      <c r="AG164" s="34"/>
      <c r="AH164" s="40"/>
      <c r="AI164" s="41"/>
      <c r="AK164" s="34"/>
      <c r="AL164" s="40"/>
      <c r="AM164" s="41"/>
      <c r="AO164" s="34"/>
      <c r="AP164" s="40"/>
      <c r="AQ164" s="41"/>
      <c r="AS164" s="34"/>
      <c r="AT164" s="40"/>
      <c r="AU164" s="41"/>
      <c r="AW164" s="34"/>
      <c r="AX164" s="40"/>
      <c r="AY164" s="41"/>
      <c r="BA164" s="34"/>
      <c r="BB164" s="40"/>
      <c r="BC164" s="41"/>
      <c r="BE164" s="34"/>
      <c r="BF164" s="40"/>
      <c r="BG164" s="41"/>
      <c r="BI164" s="34"/>
      <c r="BJ164" s="40"/>
      <c r="BK164" s="41"/>
      <c r="BM164" s="38">
        <f t="shared" si="3"/>
        <v>27000000</v>
      </c>
      <c r="BN164" s="19"/>
    </row>
    <row r="165" spans="1:66" ht="15.75" hidden="1" x14ac:dyDescent="0.25">
      <c r="A165" s="29">
        <v>163</v>
      </c>
      <c r="B165" s="78" t="s">
        <v>527</v>
      </c>
      <c r="C165" s="12" t="s">
        <v>551</v>
      </c>
      <c r="D165" s="5" t="s">
        <v>552</v>
      </c>
      <c r="E165" s="50">
        <v>97</v>
      </c>
      <c r="F165" s="51">
        <v>163</v>
      </c>
      <c r="G165" s="50"/>
      <c r="I165" s="52"/>
      <c r="J165" s="53"/>
      <c r="K165" s="54"/>
      <c r="L165" s="58"/>
      <c r="M165" s="52">
        <v>83</v>
      </c>
      <c r="N165" s="59">
        <v>45619</v>
      </c>
      <c r="O165" s="60">
        <v>6000000</v>
      </c>
      <c r="P165" s="19"/>
      <c r="Q165" s="34">
        <v>155</v>
      </c>
      <c r="R165" s="40">
        <v>45655</v>
      </c>
      <c r="S165" s="41">
        <v>7000000</v>
      </c>
      <c r="T165" s="19"/>
      <c r="U165" s="34">
        <v>281</v>
      </c>
      <c r="V165" s="40">
        <v>45721</v>
      </c>
      <c r="W165" s="41">
        <v>7000000</v>
      </c>
      <c r="X165" s="19"/>
      <c r="Y165" s="34"/>
      <c r="Z165" s="40"/>
      <c r="AA165" s="41"/>
      <c r="AB165" s="19"/>
      <c r="AC165" s="34"/>
      <c r="AD165" s="40"/>
      <c r="AE165" s="41"/>
      <c r="AG165" s="34"/>
      <c r="AH165" s="40"/>
      <c r="AI165" s="41"/>
      <c r="AK165" s="34"/>
      <c r="AL165" s="40"/>
      <c r="AM165" s="41"/>
      <c r="AO165" s="34"/>
      <c r="AP165" s="40"/>
      <c r="AQ165" s="41"/>
      <c r="AS165" s="34"/>
      <c r="AT165" s="40"/>
      <c r="AU165" s="41"/>
      <c r="AW165" s="34"/>
      <c r="AX165" s="40"/>
      <c r="AY165" s="41"/>
      <c r="BA165" s="34"/>
      <c r="BB165" s="40"/>
      <c r="BC165" s="41"/>
      <c r="BE165" s="34"/>
      <c r="BF165" s="40"/>
      <c r="BG165" s="41"/>
      <c r="BI165" s="34"/>
      <c r="BJ165" s="40"/>
      <c r="BK165" s="41"/>
      <c r="BM165" s="38">
        <f t="shared" si="3"/>
        <v>20000000</v>
      </c>
      <c r="BN165" s="19"/>
    </row>
    <row r="166" spans="1:66" ht="15.75" hidden="1" x14ac:dyDescent="0.25">
      <c r="A166" s="29">
        <v>164</v>
      </c>
      <c r="B166" s="80" t="s">
        <v>553</v>
      </c>
      <c r="C166" s="43" t="s">
        <v>299</v>
      </c>
      <c r="D166" s="18"/>
      <c r="E166" s="16">
        <v>1</v>
      </c>
      <c r="F166" s="33">
        <v>1</v>
      </c>
      <c r="G166" s="16"/>
      <c r="I166" s="34"/>
      <c r="J166" s="35"/>
      <c r="K166" s="36"/>
      <c r="L166" s="19"/>
      <c r="M166" s="34"/>
      <c r="N166" s="40"/>
      <c r="O166" s="41"/>
      <c r="P166" s="19"/>
      <c r="Q166" s="34"/>
      <c r="R166" s="40"/>
      <c r="S166" s="41"/>
      <c r="T166" s="19"/>
      <c r="U166" s="34"/>
      <c r="V166" s="40"/>
      <c r="W166" s="41"/>
      <c r="X166" s="19"/>
      <c r="Y166" s="34"/>
      <c r="Z166" s="40"/>
      <c r="AA166" s="41"/>
      <c r="AB166" s="19"/>
      <c r="AC166" s="34"/>
      <c r="AD166" s="40"/>
      <c r="AE166" s="41"/>
      <c r="AG166" s="34"/>
      <c r="AH166" s="40"/>
      <c r="AI166" s="41"/>
      <c r="AK166" s="34"/>
      <c r="AL166" s="40"/>
      <c r="AM166" s="41"/>
      <c r="AO166" s="34"/>
      <c r="AP166" s="40"/>
      <c r="AQ166" s="41"/>
      <c r="AS166" s="34"/>
      <c r="AT166" s="40"/>
      <c r="AU166" s="41"/>
      <c r="AW166" s="34"/>
      <c r="AX166" s="40"/>
      <c r="AY166" s="41"/>
      <c r="BA166" s="34"/>
      <c r="BB166" s="40"/>
      <c r="BC166" s="41"/>
      <c r="BE166" s="34"/>
      <c r="BF166" s="40"/>
      <c r="BG166" s="41"/>
      <c r="BI166" s="34"/>
      <c r="BJ166" s="40"/>
      <c r="BK166" s="41"/>
      <c r="BM166" s="38">
        <f t="shared" si="3"/>
        <v>0</v>
      </c>
      <c r="BN166" s="19"/>
    </row>
    <row r="167" spans="1:66" ht="15.75" hidden="1" x14ac:dyDescent="0.25">
      <c r="A167" s="29">
        <v>165</v>
      </c>
      <c r="B167" s="80" t="s">
        <v>553</v>
      </c>
      <c r="C167" s="43" t="s">
        <v>299</v>
      </c>
      <c r="D167" s="18"/>
      <c r="E167" s="16">
        <v>3</v>
      </c>
      <c r="F167" s="33">
        <v>2</v>
      </c>
      <c r="G167" s="16"/>
      <c r="I167" s="34"/>
      <c r="J167" s="35"/>
      <c r="K167" s="36"/>
      <c r="L167" s="19"/>
      <c r="M167" s="34"/>
      <c r="N167" s="40"/>
      <c r="O167" s="41"/>
      <c r="P167" s="19"/>
      <c r="Q167" s="34"/>
      <c r="R167" s="40"/>
      <c r="S167" s="41"/>
      <c r="T167" s="19"/>
      <c r="U167" s="34"/>
      <c r="V167" s="40"/>
      <c r="W167" s="41"/>
      <c r="X167" s="19"/>
      <c r="Y167" s="34"/>
      <c r="Z167" s="40"/>
      <c r="AA167" s="41"/>
      <c r="AB167" s="19"/>
      <c r="AC167" s="34"/>
      <c r="AD167" s="40"/>
      <c r="AE167" s="41"/>
      <c r="AG167" s="34"/>
      <c r="AH167" s="40"/>
      <c r="AI167" s="41"/>
      <c r="AK167" s="34"/>
      <c r="AL167" s="40"/>
      <c r="AM167" s="41"/>
      <c r="AO167" s="34"/>
      <c r="AP167" s="40"/>
      <c r="AQ167" s="41"/>
      <c r="AS167" s="34"/>
      <c r="AT167" s="40"/>
      <c r="AU167" s="41"/>
      <c r="AW167" s="34"/>
      <c r="AX167" s="40"/>
      <c r="AY167" s="41"/>
      <c r="BA167" s="34"/>
      <c r="BB167" s="40"/>
      <c r="BC167" s="41"/>
      <c r="BE167" s="34"/>
      <c r="BF167" s="40"/>
      <c r="BG167" s="41"/>
      <c r="BI167" s="34"/>
      <c r="BJ167" s="40"/>
      <c r="BK167" s="41"/>
      <c r="BM167" s="38">
        <f t="shared" si="3"/>
        <v>0</v>
      </c>
      <c r="BN167" s="19"/>
    </row>
    <row r="168" spans="1:66" ht="15.75" hidden="1" x14ac:dyDescent="0.25">
      <c r="A168" s="29">
        <v>166</v>
      </c>
      <c r="B168" s="80" t="s">
        <v>553</v>
      </c>
      <c r="C168" s="43" t="s">
        <v>299</v>
      </c>
      <c r="D168" s="18"/>
      <c r="E168" s="16">
        <v>5</v>
      </c>
      <c r="F168" s="33">
        <v>3</v>
      </c>
      <c r="G168" s="16"/>
      <c r="I168" s="34"/>
      <c r="J168" s="35"/>
      <c r="K168" s="36"/>
      <c r="L168" s="19"/>
      <c r="M168" s="34"/>
      <c r="N168" s="40"/>
      <c r="O168" s="41"/>
      <c r="P168" s="19"/>
      <c r="Q168" s="34"/>
      <c r="R168" s="40"/>
      <c r="S168" s="41"/>
      <c r="T168" s="19"/>
      <c r="U168" s="34"/>
      <c r="V168" s="40"/>
      <c r="W168" s="41"/>
      <c r="X168" s="19"/>
      <c r="Y168" s="34"/>
      <c r="Z168" s="40"/>
      <c r="AA168" s="41"/>
      <c r="AB168" s="19"/>
      <c r="AC168" s="34"/>
      <c r="AD168" s="40"/>
      <c r="AE168" s="41"/>
      <c r="AG168" s="34"/>
      <c r="AH168" s="40"/>
      <c r="AI168" s="41"/>
      <c r="AK168" s="34"/>
      <c r="AL168" s="40"/>
      <c r="AM168" s="41"/>
      <c r="AO168" s="34"/>
      <c r="AP168" s="40"/>
      <c r="AQ168" s="41"/>
      <c r="AS168" s="34"/>
      <c r="AT168" s="40"/>
      <c r="AU168" s="41"/>
      <c r="AW168" s="34"/>
      <c r="AX168" s="40"/>
      <c r="AY168" s="41"/>
      <c r="BA168" s="34"/>
      <c r="BB168" s="40"/>
      <c r="BC168" s="41"/>
      <c r="BE168" s="34"/>
      <c r="BF168" s="40"/>
      <c r="BG168" s="41"/>
      <c r="BI168" s="34"/>
      <c r="BJ168" s="40"/>
      <c r="BK168" s="41"/>
      <c r="BM168" s="38">
        <f t="shared" si="3"/>
        <v>0</v>
      </c>
      <c r="BN168" s="19"/>
    </row>
    <row r="169" spans="1:66" ht="15.75" hidden="1" x14ac:dyDescent="0.25">
      <c r="A169" s="29">
        <v>167</v>
      </c>
      <c r="B169" s="80" t="s">
        <v>553</v>
      </c>
      <c r="C169" s="13" t="s">
        <v>554</v>
      </c>
      <c r="D169" s="18" t="s">
        <v>555</v>
      </c>
      <c r="E169" s="16">
        <v>7</v>
      </c>
      <c r="F169" s="33">
        <v>4</v>
      </c>
      <c r="G169" s="16"/>
      <c r="I169" s="34">
        <v>208</v>
      </c>
      <c r="J169" s="35">
        <v>45690</v>
      </c>
      <c r="K169" s="36">
        <v>10000000</v>
      </c>
      <c r="L169" s="19"/>
      <c r="M169" s="34"/>
      <c r="N169" s="40"/>
      <c r="O169" s="41"/>
      <c r="P169" s="19"/>
      <c r="Q169" s="34"/>
      <c r="R169" s="40"/>
      <c r="S169" s="41"/>
      <c r="T169" s="19"/>
      <c r="U169" s="34"/>
      <c r="V169" s="40"/>
      <c r="W169" s="41"/>
      <c r="X169" s="19"/>
      <c r="Y169" s="34"/>
      <c r="Z169" s="40"/>
      <c r="AA169" s="41"/>
      <c r="AB169" s="19"/>
      <c r="AC169" s="34"/>
      <c r="AD169" s="40"/>
      <c r="AE169" s="41"/>
      <c r="AG169" s="34"/>
      <c r="AH169" s="40"/>
      <c r="AI169" s="41"/>
      <c r="AK169" s="34"/>
      <c r="AL169" s="40"/>
      <c r="AM169" s="41"/>
      <c r="AO169" s="34"/>
      <c r="AP169" s="40"/>
      <c r="AQ169" s="41"/>
      <c r="AS169" s="34"/>
      <c r="AT169" s="40"/>
      <c r="AU169" s="41"/>
      <c r="AW169" s="34"/>
      <c r="AX169" s="40"/>
      <c r="AY169" s="41"/>
      <c r="BA169" s="34"/>
      <c r="BB169" s="40"/>
      <c r="BC169" s="41"/>
      <c r="BE169" s="34"/>
      <c r="BF169" s="40"/>
      <c r="BG169" s="41"/>
      <c r="BI169" s="34"/>
      <c r="BJ169" s="40"/>
      <c r="BK169" s="41"/>
      <c r="BM169" s="38">
        <f t="shared" si="3"/>
        <v>10000000</v>
      </c>
      <c r="BN169" s="19"/>
    </row>
    <row r="170" spans="1:66" ht="15.75" hidden="1" x14ac:dyDescent="0.25">
      <c r="A170" s="29">
        <v>168</v>
      </c>
      <c r="B170" s="80" t="s">
        <v>553</v>
      </c>
      <c r="C170" s="13" t="s">
        <v>556</v>
      </c>
      <c r="D170" s="18" t="s">
        <v>272</v>
      </c>
      <c r="E170" s="16">
        <v>9</v>
      </c>
      <c r="F170" s="33">
        <v>5</v>
      </c>
      <c r="G170" s="16"/>
      <c r="I170" s="34">
        <v>51</v>
      </c>
      <c r="J170" s="35">
        <v>45601</v>
      </c>
      <c r="K170" s="36">
        <v>10000000</v>
      </c>
      <c r="L170" s="19"/>
      <c r="M170" s="34"/>
      <c r="N170" s="40"/>
      <c r="O170" s="41"/>
      <c r="P170" s="19"/>
      <c r="Q170" s="34"/>
      <c r="R170" s="40"/>
      <c r="S170" s="41"/>
      <c r="T170" s="19"/>
      <c r="U170" s="34"/>
      <c r="V170" s="40"/>
      <c r="W170" s="41"/>
      <c r="X170" s="19"/>
      <c r="Y170" s="34"/>
      <c r="Z170" s="40"/>
      <c r="AA170" s="41"/>
      <c r="AB170" s="19"/>
      <c r="AC170" s="34"/>
      <c r="AD170" s="40"/>
      <c r="AE170" s="41"/>
      <c r="AG170" s="34"/>
      <c r="AH170" s="40"/>
      <c r="AI170" s="41"/>
      <c r="AK170" s="34"/>
      <c r="AL170" s="40"/>
      <c r="AM170" s="41"/>
      <c r="AO170" s="34"/>
      <c r="AP170" s="40"/>
      <c r="AQ170" s="41"/>
      <c r="AS170" s="34"/>
      <c r="AT170" s="40"/>
      <c r="AU170" s="41"/>
      <c r="AW170" s="34"/>
      <c r="AX170" s="40"/>
      <c r="AY170" s="41"/>
      <c r="BA170" s="34"/>
      <c r="BB170" s="40"/>
      <c r="BC170" s="41"/>
      <c r="BE170" s="34"/>
      <c r="BF170" s="40"/>
      <c r="BG170" s="41"/>
      <c r="BI170" s="34"/>
      <c r="BJ170" s="40"/>
      <c r="BK170" s="41"/>
      <c r="BM170" s="38">
        <f t="shared" si="3"/>
        <v>10000000</v>
      </c>
      <c r="BN170" s="19"/>
    </row>
    <row r="171" spans="1:66" ht="15.75" hidden="1" x14ac:dyDescent="0.25">
      <c r="A171" s="29">
        <v>169</v>
      </c>
      <c r="B171" s="80" t="s">
        <v>553</v>
      </c>
      <c r="C171" s="13" t="s">
        <v>557</v>
      </c>
      <c r="D171" s="18" t="s">
        <v>558</v>
      </c>
      <c r="E171" s="16">
        <v>11</v>
      </c>
      <c r="F171" s="33">
        <v>6</v>
      </c>
      <c r="G171" s="56" t="s">
        <v>265</v>
      </c>
      <c r="I171" s="34">
        <v>138</v>
      </c>
      <c r="J171" s="35">
        <v>45643</v>
      </c>
      <c r="K171" s="36" t="s">
        <v>559</v>
      </c>
      <c r="L171" s="19"/>
      <c r="M171" s="34"/>
      <c r="N171" s="40"/>
      <c r="O171" s="41"/>
      <c r="P171" s="19"/>
      <c r="Q171" s="34"/>
      <c r="R171" s="40"/>
      <c r="S171" s="41"/>
      <c r="T171" s="19"/>
      <c r="U171" s="34"/>
      <c r="V171" s="40"/>
      <c r="W171" s="41"/>
      <c r="X171" s="19"/>
      <c r="Y171" s="34"/>
      <c r="Z171" s="40"/>
      <c r="AA171" s="41"/>
      <c r="AB171" s="19"/>
      <c r="AC171" s="34"/>
      <c r="AD171" s="40"/>
      <c r="AE171" s="41"/>
      <c r="AG171" s="34"/>
      <c r="AH171" s="40"/>
      <c r="AI171" s="41"/>
      <c r="AK171" s="34"/>
      <c r="AL171" s="40"/>
      <c r="AM171" s="41"/>
      <c r="AO171" s="34"/>
      <c r="AP171" s="40"/>
      <c r="AQ171" s="41"/>
      <c r="AS171" s="34"/>
      <c r="AT171" s="40"/>
      <c r="AU171" s="41"/>
      <c r="AW171" s="34"/>
      <c r="AX171" s="40"/>
      <c r="AY171" s="41"/>
      <c r="BA171" s="34"/>
      <c r="BB171" s="40"/>
      <c r="BC171" s="41"/>
      <c r="BE171" s="34"/>
      <c r="BF171" s="40"/>
      <c r="BG171" s="41"/>
      <c r="BI171" s="34"/>
      <c r="BJ171" s="40"/>
      <c r="BK171" s="41"/>
      <c r="BM171" s="38">
        <f t="shared" si="3"/>
        <v>0</v>
      </c>
      <c r="BN171" s="19"/>
    </row>
    <row r="172" spans="1:66" ht="15.75" hidden="1" x14ac:dyDescent="0.25">
      <c r="A172" s="29">
        <v>170</v>
      </c>
      <c r="B172" s="80" t="s">
        <v>553</v>
      </c>
      <c r="C172" s="13" t="s">
        <v>560</v>
      </c>
      <c r="D172" s="18" t="s">
        <v>561</v>
      </c>
      <c r="E172" s="16">
        <v>13</v>
      </c>
      <c r="F172" s="33">
        <v>7</v>
      </c>
      <c r="G172" s="56" t="s">
        <v>265</v>
      </c>
      <c r="I172" s="34">
        <v>413</v>
      </c>
      <c r="J172" s="35">
        <v>45684</v>
      </c>
      <c r="K172" s="36" t="s">
        <v>265</v>
      </c>
      <c r="L172" s="19"/>
      <c r="M172" s="34">
        <v>427</v>
      </c>
      <c r="N172" s="40">
        <v>45935</v>
      </c>
      <c r="O172" s="41" t="s">
        <v>562</v>
      </c>
      <c r="P172" s="19"/>
      <c r="Q172" s="34"/>
      <c r="R172" s="40"/>
      <c r="S172" s="41"/>
      <c r="T172" s="19"/>
      <c r="U172" s="34"/>
      <c r="V172" s="40"/>
      <c r="W172" s="41"/>
      <c r="X172" s="19"/>
      <c r="Y172" s="34"/>
      <c r="Z172" s="40"/>
      <c r="AA172" s="41"/>
      <c r="AB172" s="19"/>
      <c r="AC172" s="34"/>
      <c r="AD172" s="40"/>
      <c r="AE172" s="41"/>
      <c r="AG172" s="34"/>
      <c r="AH172" s="40"/>
      <c r="AI172" s="41"/>
      <c r="AK172" s="34"/>
      <c r="AL172" s="40"/>
      <c r="AM172" s="41"/>
      <c r="AO172" s="34"/>
      <c r="AP172" s="40"/>
      <c r="AQ172" s="41"/>
      <c r="AS172" s="34"/>
      <c r="AT172" s="40"/>
      <c r="AU172" s="41"/>
      <c r="AW172" s="34"/>
      <c r="AX172" s="40"/>
      <c r="AY172" s="41"/>
      <c r="BA172" s="34"/>
      <c r="BB172" s="40"/>
      <c r="BC172" s="41"/>
      <c r="BE172" s="34"/>
      <c r="BF172" s="40"/>
      <c r="BG172" s="41"/>
      <c r="BI172" s="34"/>
      <c r="BJ172" s="40"/>
      <c r="BK172" s="41"/>
      <c r="BM172" s="38">
        <f t="shared" si="3"/>
        <v>0</v>
      </c>
      <c r="BN172" s="19"/>
    </row>
    <row r="173" spans="1:66" ht="15.75" hidden="1" x14ac:dyDescent="0.25">
      <c r="A173" s="29">
        <v>171</v>
      </c>
      <c r="B173" s="80" t="s">
        <v>553</v>
      </c>
      <c r="C173" s="13" t="s">
        <v>563</v>
      </c>
      <c r="D173" s="18" t="s">
        <v>564</v>
      </c>
      <c r="E173" s="16">
        <v>15</v>
      </c>
      <c r="F173" s="33">
        <v>8</v>
      </c>
      <c r="G173" s="16"/>
      <c r="I173" s="34"/>
      <c r="J173" s="35"/>
      <c r="K173" s="36"/>
      <c r="L173" s="19"/>
      <c r="M173" s="34"/>
      <c r="N173" s="40"/>
      <c r="O173" s="41"/>
      <c r="P173" s="19"/>
      <c r="Q173" s="34"/>
      <c r="R173" s="40"/>
      <c r="S173" s="41"/>
      <c r="T173" s="19"/>
      <c r="U173" s="34"/>
      <c r="V173" s="40"/>
      <c r="W173" s="41"/>
      <c r="X173" s="19"/>
      <c r="Y173" s="34"/>
      <c r="Z173" s="40"/>
      <c r="AA173" s="41"/>
      <c r="AB173" s="19"/>
      <c r="AC173" s="34"/>
      <c r="AD173" s="40"/>
      <c r="AE173" s="41"/>
      <c r="AG173" s="34"/>
      <c r="AH173" s="40"/>
      <c r="AI173" s="41"/>
      <c r="AK173" s="34"/>
      <c r="AL173" s="40"/>
      <c r="AM173" s="41"/>
      <c r="AO173" s="34"/>
      <c r="AP173" s="40"/>
      <c r="AQ173" s="41"/>
      <c r="AS173" s="34"/>
      <c r="AT173" s="40"/>
      <c r="AU173" s="41"/>
      <c r="AW173" s="34"/>
      <c r="AX173" s="40"/>
      <c r="AY173" s="41"/>
      <c r="BA173" s="34"/>
      <c r="BB173" s="40"/>
      <c r="BC173" s="41"/>
      <c r="BE173" s="34"/>
      <c r="BF173" s="40"/>
      <c r="BG173" s="41"/>
      <c r="BI173" s="34"/>
      <c r="BJ173" s="40"/>
      <c r="BK173" s="41"/>
      <c r="BM173" s="38">
        <f t="shared" si="3"/>
        <v>0</v>
      </c>
      <c r="BN173" s="19"/>
    </row>
    <row r="174" spans="1:66" ht="15.75" hidden="1" x14ac:dyDescent="0.25">
      <c r="A174" s="29">
        <v>172</v>
      </c>
      <c r="B174" s="80" t="s">
        <v>553</v>
      </c>
      <c r="C174" s="43" t="s">
        <v>299</v>
      </c>
      <c r="D174" s="18"/>
      <c r="E174" s="16">
        <v>17</v>
      </c>
      <c r="F174" s="33">
        <v>9</v>
      </c>
      <c r="G174" s="16"/>
      <c r="I174" s="34"/>
      <c r="J174" s="35"/>
      <c r="K174" s="36"/>
      <c r="L174" s="19"/>
      <c r="M174" s="34"/>
      <c r="N174" s="40"/>
      <c r="O174" s="41"/>
      <c r="P174" s="19"/>
      <c r="Q174" s="34"/>
      <c r="R174" s="40"/>
      <c r="S174" s="41"/>
      <c r="T174" s="19"/>
      <c r="U174" s="34"/>
      <c r="V174" s="40"/>
      <c r="W174" s="41"/>
      <c r="X174" s="19"/>
      <c r="Y174" s="34"/>
      <c r="Z174" s="40"/>
      <c r="AA174" s="41"/>
      <c r="AB174" s="19"/>
      <c r="AC174" s="34"/>
      <c r="AD174" s="40"/>
      <c r="AE174" s="41"/>
      <c r="AG174" s="34"/>
      <c r="AH174" s="40"/>
      <c r="AI174" s="41"/>
      <c r="AK174" s="34"/>
      <c r="AL174" s="40"/>
      <c r="AM174" s="41"/>
      <c r="AO174" s="34"/>
      <c r="AP174" s="40"/>
      <c r="AQ174" s="41"/>
      <c r="AS174" s="34"/>
      <c r="AT174" s="40"/>
      <c r="AU174" s="41"/>
      <c r="AW174" s="34"/>
      <c r="AX174" s="40"/>
      <c r="AY174" s="41"/>
      <c r="BA174" s="34"/>
      <c r="BB174" s="40"/>
      <c r="BC174" s="41"/>
      <c r="BE174" s="34"/>
      <c r="BF174" s="40"/>
      <c r="BG174" s="41"/>
      <c r="BI174" s="34"/>
      <c r="BJ174" s="40"/>
      <c r="BK174" s="41"/>
      <c r="BM174" s="38">
        <f t="shared" si="3"/>
        <v>0</v>
      </c>
      <c r="BN174" s="19"/>
    </row>
    <row r="175" spans="1:66" ht="15.75" hidden="1" x14ac:dyDescent="0.25">
      <c r="A175" s="29">
        <v>173</v>
      </c>
      <c r="B175" s="80" t="s">
        <v>553</v>
      </c>
      <c r="C175" s="43" t="s">
        <v>299</v>
      </c>
      <c r="D175" s="18"/>
      <c r="E175" s="16">
        <v>19</v>
      </c>
      <c r="F175" s="33">
        <v>10</v>
      </c>
      <c r="G175" s="16"/>
      <c r="I175" s="34"/>
      <c r="J175" s="35"/>
      <c r="K175" s="36"/>
      <c r="L175" s="19"/>
      <c r="M175" s="34" t="s">
        <v>565</v>
      </c>
      <c r="N175" s="40"/>
      <c r="O175" s="41"/>
      <c r="P175" s="19"/>
      <c r="Q175" s="34"/>
      <c r="R175" s="40"/>
      <c r="S175" s="41"/>
      <c r="T175" s="19"/>
      <c r="U175" s="34"/>
      <c r="V175" s="40"/>
      <c r="W175" s="41"/>
      <c r="X175" s="19"/>
      <c r="Y175" s="34"/>
      <c r="Z175" s="40"/>
      <c r="AA175" s="41"/>
      <c r="AB175" s="19"/>
      <c r="AC175" s="34"/>
      <c r="AD175" s="40"/>
      <c r="AE175" s="41"/>
      <c r="AG175" s="34"/>
      <c r="AH175" s="40"/>
      <c r="AI175" s="41"/>
      <c r="AK175" s="34"/>
      <c r="AL175" s="40"/>
      <c r="AM175" s="41"/>
      <c r="AO175" s="34"/>
      <c r="AP175" s="40"/>
      <c r="AQ175" s="41"/>
      <c r="AS175" s="34"/>
      <c r="AT175" s="40"/>
      <c r="AU175" s="41"/>
      <c r="AW175" s="34"/>
      <c r="AX175" s="40"/>
      <c r="AY175" s="41"/>
      <c r="BA175" s="34"/>
      <c r="BB175" s="40"/>
      <c r="BC175" s="41"/>
      <c r="BE175" s="34"/>
      <c r="BF175" s="40"/>
      <c r="BG175" s="41"/>
      <c r="BI175" s="34"/>
      <c r="BJ175" s="40"/>
      <c r="BK175" s="41"/>
      <c r="BM175" s="38">
        <f t="shared" si="3"/>
        <v>0</v>
      </c>
      <c r="BN175" s="19"/>
    </row>
    <row r="176" spans="1:66" ht="15.75" hidden="1" x14ac:dyDescent="0.25">
      <c r="A176" s="29">
        <v>174</v>
      </c>
      <c r="B176" s="80" t="s">
        <v>553</v>
      </c>
      <c r="C176" s="43" t="s">
        <v>299</v>
      </c>
      <c r="D176" s="18"/>
      <c r="E176" s="16">
        <v>2</v>
      </c>
      <c r="F176" s="33">
        <v>11</v>
      </c>
      <c r="G176" s="16"/>
      <c r="I176" s="34"/>
      <c r="J176" s="35"/>
      <c r="K176" s="36"/>
      <c r="L176" s="19"/>
      <c r="M176" s="34"/>
      <c r="N176" s="40"/>
      <c r="O176" s="41"/>
      <c r="P176" s="19"/>
      <c r="Q176" s="34"/>
      <c r="R176" s="40"/>
      <c r="S176" s="41"/>
      <c r="T176" s="19"/>
      <c r="U176" s="34"/>
      <c r="V176" s="40"/>
      <c r="W176" s="41"/>
      <c r="X176" s="19"/>
      <c r="Y176" s="34"/>
      <c r="Z176" s="40"/>
      <c r="AA176" s="41"/>
      <c r="AB176" s="19"/>
      <c r="AC176" s="34"/>
      <c r="AD176" s="40"/>
      <c r="AE176" s="41"/>
      <c r="AG176" s="34"/>
      <c r="AH176" s="40"/>
      <c r="AI176" s="41"/>
      <c r="AK176" s="34"/>
      <c r="AL176" s="40"/>
      <c r="AM176" s="41"/>
      <c r="AO176" s="34"/>
      <c r="AP176" s="40"/>
      <c r="AQ176" s="41"/>
      <c r="AS176" s="34"/>
      <c r="AT176" s="40"/>
      <c r="AU176" s="41"/>
      <c r="AW176" s="34"/>
      <c r="AX176" s="40"/>
      <c r="AY176" s="41"/>
      <c r="BA176" s="34"/>
      <c r="BB176" s="40"/>
      <c r="BC176" s="41"/>
      <c r="BE176" s="34"/>
      <c r="BF176" s="40"/>
      <c r="BG176" s="41"/>
      <c r="BI176" s="34"/>
      <c r="BJ176" s="40"/>
      <c r="BK176" s="41"/>
      <c r="BM176" s="38">
        <f t="shared" si="3"/>
        <v>0</v>
      </c>
      <c r="BN176" s="19"/>
    </row>
    <row r="177" spans="1:66" ht="15.75" hidden="1" x14ac:dyDescent="0.25">
      <c r="A177" s="29">
        <v>175</v>
      </c>
      <c r="B177" s="80" t="s">
        <v>553</v>
      </c>
      <c r="C177" s="12" t="s">
        <v>904</v>
      </c>
      <c r="D177" s="18"/>
      <c r="E177" s="16">
        <v>4</v>
      </c>
      <c r="F177" s="33">
        <v>12</v>
      </c>
      <c r="G177" s="56" t="s">
        <v>265</v>
      </c>
      <c r="I177" s="34">
        <v>555</v>
      </c>
      <c r="J177" s="35">
        <v>46081</v>
      </c>
      <c r="K177" s="36">
        <v>110000000</v>
      </c>
      <c r="L177" s="19"/>
      <c r="M177" s="34"/>
      <c r="N177" s="40"/>
      <c r="O177" s="41"/>
      <c r="P177" s="19"/>
      <c r="Q177" s="34"/>
      <c r="R177" s="40"/>
      <c r="S177" s="41"/>
      <c r="T177" s="19"/>
      <c r="U177" s="34"/>
      <c r="V177" s="40"/>
      <c r="W177" s="41"/>
      <c r="X177" s="19"/>
      <c r="Y177" s="34"/>
      <c r="Z177" s="40"/>
      <c r="AA177" s="41"/>
      <c r="AB177" s="19"/>
      <c r="AC177" s="34"/>
      <c r="AD177" s="40"/>
      <c r="AE177" s="41"/>
      <c r="AG177" s="34"/>
      <c r="AH177" s="40"/>
      <c r="AI177" s="41"/>
      <c r="AK177" s="34"/>
      <c r="AL177" s="40"/>
      <c r="AM177" s="41"/>
      <c r="AO177" s="34"/>
      <c r="AP177" s="40"/>
      <c r="AQ177" s="41"/>
      <c r="AS177" s="34"/>
      <c r="AT177" s="40"/>
      <c r="AU177" s="41"/>
      <c r="AW177" s="34"/>
      <c r="AX177" s="40"/>
      <c r="AY177" s="41"/>
      <c r="BA177" s="34"/>
      <c r="BB177" s="40"/>
      <c r="BC177" s="41"/>
      <c r="BE177" s="34"/>
      <c r="BF177" s="40"/>
      <c r="BG177" s="41"/>
      <c r="BI177" s="34"/>
      <c r="BJ177" s="40"/>
      <c r="BK177" s="41"/>
      <c r="BM177" s="38">
        <f t="shared" si="3"/>
        <v>110000000</v>
      </c>
      <c r="BN177" s="19"/>
    </row>
    <row r="178" spans="1:66" ht="15.75" hidden="1" x14ac:dyDescent="0.25">
      <c r="A178" s="29">
        <v>176</v>
      </c>
      <c r="B178" s="80" t="s">
        <v>553</v>
      </c>
      <c r="C178" s="12" t="s">
        <v>746</v>
      </c>
      <c r="D178" s="18"/>
      <c r="E178" s="16">
        <v>6</v>
      </c>
      <c r="F178" s="33">
        <v>13</v>
      </c>
      <c r="G178" s="56" t="s">
        <v>265</v>
      </c>
      <c r="I178" s="34">
        <v>537</v>
      </c>
      <c r="J178" s="35">
        <v>46065</v>
      </c>
      <c r="K178" s="36">
        <v>110000000</v>
      </c>
      <c r="L178" s="19"/>
      <c r="M178" s="34"/>
      <c r="N178" s="40"/>
      <c r="O178" s="41"/>
      <c r="P178" s="19"/>
      <c r="Q178" s="34"/>
      <c r="R178" s="40"/>
      <c r="S178" s="41"/>
      <c r="T178" s="19"/>
      <c r="U178" s="34"/>
      <c r="V178" s="40"/>
      <c r="W178" s="41"/>
      <c r="X178" s="19"/>
      <c r="Y178" s="34"/>
      <c r="Z178" s="40"/>
      <c r="AA178" s="41"/>
      <c r="AB178" s="19"/>
      <c r="AC178" s="34"/>
      <c r="AD178" s="40"/>
      <c r="AE178" s="41"/>
      <c r="AG178" s="34"/>
      <c r="AH178" s="40"/>
      <c r="AI178" s="41"/>
      <c r="AK178" s="34"/>
      <c r="AL178" s="40"/>
      <c r="AM178" s="41"/>
      <c r="AO178" s="34"/>
      <c r="AP178" s="40"/>
      <c r="AQ178" s="41"/>
      <c r="AS178" s="34"/>
      <c r="AT178" s="40"/>
      <c r="AU178" s="41"/>
      <c r="AW178" s="34"/>
      <c r="AX178" s="40"/>
      <c r="AY178" s="41"/>
      <c r="BA178" s="34"/>
      <c r="BB178" s="40"/>
      <c r="BC178" s="41"/>
      <c r="BE178" s="34"/>
      <c r="BF178" s="40"/>
      <c r="BG178" s="41"/>
      <c r="BI178" s="34"/>
      <c r="BJ178" s="40"/>
      <c r="BK178" s="41"/>
      <c r="BM178" s="38">
        <f t="shared" si="3"/>
        <v>110000000</v>
      </c>
      <c r="BN178" s="19"/>
    </row>
    <row r="179" spans="1:66" ht="31.5" hidden="1" x14ac:dyDescent="0.25">
      <c r="A179" s="29">
        <v>177</v>
      </c>
      <c r="B179" s="80" t="s">
        <v>553</v>
      </c>
      <c r="C179" s="159" t="s">
        <v>911</v>
      </c>
      <c r="D179" s="18"/>
      <c r="E179" s="16">
        <v>8</v>
      </c>
      <c r="F179" s="33">
        <v>14</v>
      </c>
      <c r="G179" s="56" t="s">
        <v>265</v>
      </c>
      <c r="I179" s="160" t="s">
        <v>898</v>
      </c>
      <c r="J179" s="161" t="s">
        <v>899</v>
      </c>
      <c r="K179" s="162" t="s">
        <v>900</v>
      </c>
      <c r="L179" s="19"/>
      <c r="M179" s="34"/>
      <c r="N179" s="40"/>
      <c r="O179" s="41"/>
      <c r="P179" s="19"/>
      <c r="Q179" s="34"/>
      <c r="R179" s="40"/>
      <c r="S179" s="41"/>
      <c r="T179" s="19"/>
      <c r="U179" s="34"/>
      <c r="V179" s="40"/>
      <c r="W179" s="41"/>
      <c r="X179" s="19"/>
      <c r="Y179" s="34"/>
      <c r="Z179" s="40"/>
      <c r="AA179" s="41"/>
      <c r="AB179" s="19"/>
      <c r="AC179" s="34"/>
      <c r="AD179" s="40"/>
      <c r="AE179" s="41"/>
      <c r="AG179" s="34"/>
      <c r="AH179" s="40"/>
      <c r="AI179" s="41"/>
      <c r="AK179" s="34"/>
      <c r="AL179" s="40"/>
      <c r="AM179" s="41"/>
      <c r="AO179" s="34"/>
      <c r="AP179" s="40"/>
      <c r="AQ179" s="41"/>
      <c r="AS179" s="34"/>
      <c r="AT179" s="40"/>
      <c r="AU179" s="41"/>
      <c r="AW179" s="34"/>
      <c r="AX179" s="40"/>
      <c r="AY179" s="41"/>
      <c r="BA179" s="34"/>
      <c r="BB179" s="40"/>
      <c r="BC179" s="41"/>
      <c r="BE179" s="34"/>
      <c r="BF179" s="40"/>
      <c r="BG179" s="41"/>
      <c r="BI179" s="34"/>
      <c r="BJ179" s="40"/>
      <c r="BK179" s="41"/>
      <c r="BM179" s="38">
        <f t="shared" si="3"/>
        <v>0</v>
      </c>
      <c r="BN179" s="19"/>
    </row>
    <row r="180" spans="1:66" ht="31.5" hidden="1" x14ac:dyDescent="0.25">
      <c r="A180" s="29">
        <v>178</v>
      </c>
      <c r="B180" s="80" t="s">
        <v>553</v>
      </c>
      <c r="C180" s="159" t="s">
        <v>902</v>
      </c>
      <c r="D180" s="18"/>
      <c r="E180" s="16">
        <v>10</v>
      </c>
      <c r="F180" s="33">
        <v>15</v>
      </c>
      <c r="G180" s="56" t="s">
        <v>265</v>
      </c>
      <c r="I180" s="160" t="s">
        <v>901</v>
      </c>
      <c r="J180" s="161" t="s">
        <v>899</v>
      </c>
      <c r="K180" s="162" t="s">
        <v>900</v>
      </c>
      <c r="L180" s="19"/>
      <c r="M180" s="34"/>
      <c r="N180" s="40"/>
      <c r="O180" s="41"/>
      <c r="P180" s="19"/>
      <c r="Q180" s="34"/>
      <c r="R180" s="40"/>
      <c r="S180" s="41"/>
      <c r="T180" s="19"/>
      <c r="U180" s="34"/>
      <c r="V180" s="40"/>
      <c r="W180" s="41"/>
      <c r="X180" s="19"/>
      <c r="Y180" s="34"/>
      <c r="Z180" s="40"/>
      <c r="AA180" s="41"/>
      <c r="AB180" s="19"/>
      <c r="AC180" s="34"/>
      <c r="AD180" s="40"/>
      <c r="AE180" s="41"/>
      <c r="AG180" s="34"/>
      <c r="AH180" s="40"/>
      <c r="AI180" s="41"/>
      <c r="AK180" s="34"/>
      <c r="AL180" s="40"/>
      <c r="AM180" s="41"/>
      <c r="AO180" s="34"/>
      <c r="AP180" s="40"/>
      <c r="AQ180" s="41"/>
      <c r="AS180" s="34"/>
      <c r="AT180" s="40"/>
      <c r="AU180" s="41"/>
      <c r="AW180" s="34"/>
      <c r="AX180" s="40"/>
      <c r="AY180" s="41"/>
      <c r="BA180" s="34"/>
      <c r="BB180" s="40"/>
      <c r="BC180" s="41"/>
      <c r="BE180" s="34"/>
      <c r="BF180" s="40"/>
      <c r="BG180" s="41"/>
      <c r="BI180" s="34"/>
      <c r="BJ180" s="40"/>
      <c r="BK180" s="41"/>
      <c r="BM180" s="38">
        <f t="shared" si="3"/>
        <v>0</v>
      </c>
      <c r="BN180" s="19"/>
    </row>
    <row r="181" spans="1:66" ht="15.75" hidden="1" x14ac:dyDescent="0.25">
      <c r="A181" s="29">
        <v>179</v>
      </c>
      <c r="B181" s="80" t="s">
        <v>553</v>
      </c>
      <c r="C181" s="43" t="s">
        <v>299</v>
      </c>
      <c r="D181" s="18"/>
      <c r="E181" s="16">
        <v>12</v>
      </c>
      <c r="F181" s="33">
        <v>16</v>
      </c>
      <c r="G181" s="16"/>
      <c r="I181" s="34"/>
      <c r="J181" s="35"/>
      <c r="K181" s="36"/>
      <c r="L181" s="19"/>
      <c r="M181" s="34"/>
      <c r="N181" s="40"/>
      <c r="O181" s="41"/>
      <c r="P181" s="19"/>
      <c r="Q181" s="34"/>
      <c r="R181" s="40"/>
      <c r="S181" s="41"/>
      <c r="T181" s="19"/>
      <c r="U181" s="34"/>
      <c r="V181" s="40"/>
      <c r="W181" s="41"/>
      <c r="X181" s="19"/>
      <c r="Y181" s="34"/>
      <c r="Z181" s="40"/>
      <c r="AA181" s="41"/>
      <c r="AB181" s="19"/>
      <c r="AC181" s="34"/>
      <c r="AD181" s="40"/>
      <c r="AE181" s="41"/>
      <c r="AG181" s="34"/>
      <c r="AH181" s="40"/>
      <c r="AI181" s="41"/>
      <c r="AK181" s="34"/>
      <c r="AL181" s="40"/>
      <c r="AM181" s="41"/>
      <c r="AO181" s="34"/>
      <c r="AP181" s="40"/>
      <c r="AQ181" s="41"/>
      <c r="AS181" s="34"/>
      <c r="AT181" s="40"/>
      <c r="AU181" s="41"/>
      <c r="AW181" s="34"/>
      <c r="AX181" s="40"/>
      <c r="AY181" s="41"/>
      <c r="BA181" s="34"/>
      <c r="BB181" s="40"/>
      <c r="BC181" s="41"/>
      <c r="BE181" s="34"/>
      <c r="BF181" s="40"/>
      <c r="BG181" s="41"/>
      <c r="BI181" s="34"/>
      <c r="BJ181" s="40"/>
      <c r="BK181" s="41"/>
      <c r="BM181" s="38">
        <f t="shared" si="3"/>
        <v>0</v>
      </c>
      <c r="BN181" s="19"/>
    </row>
    <row r="182" spans="1:66" ht="15.75" hidden="1" x14ac:dyDescent="0.25">
      <c r="A182" s="29">
        <v>180</v>
      </c>
      <c r="B182" s="80" t="s">
        <v>553</v>
      </c>
      <c r="C182" s="43" t="s">
        <v>1460</v>
      </c>
      <c r="D182" s="18"/>
      <c r="E182" s="16">
        <v>14</v>
      </c>
      <c r="F182" s="33">
        <v>17</v>
      </c>
      <c r="G182" s="16"/>
      <c r="I182" s="34">
        <v>601</v>
      </c>
      <c r="J182" s="35">
        <v>46158</v>
      </c>
      <c r="K182" s="36">
        <v>100000000</v>
      </c>
      <c r="L182" s="19"/>
      <c r="M182" s="34"/>
      <c r="N182" s="40"/>
      <c r="O182" s="41"/>
      <c r="P182" s="19"/>
      <c r="Q182" s="34"/>
      <c r="R182" s="40"/>
      <c r="S182" s="41"/>
      <c r="T182" s="19"/>
      <c r="U182" s="34"/>
      <c r="V182" s="40"/>
      <c r="W182" s="41"/>
      <c r="X182" s="19"/>
      <c r="Y182" s="34"/>
      <c r="Z182" s="40"/>
      <c r="AA182" s="41"/>
      <c r="AB182" s="19"/>
      <c r="AC182" s="34"/>
      <c r="AD182" s="40"/>
      <c r="AE182" s="41"/>
      <c r="AG182" s="34"/>
      <c r="AH182" s="40"/>
      <c r="AI182" s="41"/>
      <c r="AK182" s="34"/>
      <c r="AL182" s="40"/>
      <c r="AM182" s="41"/>
      <c r="AO182" s="34"/>
      <c r="AP182" s="40"/>
      <c r="AQ182" s="41"/>
      <c r="AS182" s="34"/>
      <c r="AT182" s="40"/>
      <c r="AU182" s="41"/>
      <c r="AW182" s="34"/>
      <c r="AX182" s="40"/>
      <c r="AY182" s="41"/>
      <c r="BA182" s="34"/>
      <c r="BB182" s="40"/>
      <c r="BC182" s="41"/>
      <c r="BE182" s="34"/>
      <c r="BF182" s="40"/>
      <c r="BG182" s="41"/>
      <c r="BI182" s="34"/>
      <c r="BJ182" s="40"/>
      <c r="BK182" s="41"/>
      <c r="BM182" s="38">
        <f t="shared" si="3"/>
        <v>100000000</v>
      </c>
      <c r="BN182" s="19"/>
    </row>
    <row r="183" spans="1:66" ht="15.75" hidden="1" x14ac:dyDescent="0.25">
      <c r="A183" s="29">
        <v>181</v>
      </c>
      <c r="B183" s="80" t="s">
        <v>553</v>
      </c>
      <c r="C183" s="12" t="s">
        <v>747</v>
      </c>
      <c r="D183" s="18"/>
      <c r="E183" s="16">
        <v>16</v>
      </c>
      <c r="F183" s="33">
        <v>18</v>
      </c>
      <c r="G183" s="16"/>
      <c r="I183" s="34">
        <v>538</v>
      </c>
      <c r="J183" s="35">
        <v>46065</v>
      </c>
      <c r="K183" s="36">
        <v>110000000</v>
      </c>
      <c r="L183" s="19"/>
      <c r="M183" s="34"/>
      <c r="N183" s="40"/>
      <c r="O183" s="41"/>
      <c r="P183" s="19"/>
      <c r="Q183" s="34"/>
      <c r="R183" s="40"/>
      <c r="S183" s="41"/>
      <c r="T183" s="19"/>
      <c r="U183" s="34"/>
      <c r="V183" s="40"/>
      <c r="W183" s="41"/>
      <c r="X183" s="19"/>
      <c r="Y183" s="34"/>
      <c r="Z183" s="40"/>
      <c r="AA183" s="41"/>
      <c r="AB183" s="19"/>
      <c r="AC183" s="34"/>
      <c r="AD183" s="40"/>
      <c r="AE183" s="41"/>
      <c r="AG183" s="34"/>
      <c r="AH183" s="40"/>
      <c r="AI183" s="41"/>
      <c r="AK183" s="34"/>
      <c r="AL183" s="40"/>
      <c r="AM183" s="41"/>
      <c r="AO183" s="34"/>
      <c r="AP183" s="40"/>
      <c r="AQ183" s="41"/>
      <c r="AS183" s="34"/>
      <c r="AT183" s="40"/>
      <c r="AU183" s="41"/>
      <c r="AW183" s="34"/>
      <c r="AX183" s="40"/>
      <c r="AY183" s="41"/>
      <c r="BA183" s="34"/>
      <c r="BB183" s="40"/>
      <c r="BC183" s="41"/>
      <c r="BE183" s="34"/>
      <c r="BF183" s="40"/>
      <c r="BG183" s="41"/>
      <c r="BI183" s="34"/>
      <c r="BJ183" s="40"/>
      <c r="BK183" s="41"/>
      <c r="BM183" s="38">
        <f t="shared" si="3"/>
        <v>110000000</v>
      </c>
      <c r="BN183" s="19"/>
    </row>
    <row r="184" spans="1:66" ht="15.75" hidden="1" x14ac:dyDescent="0.25">
      <c r="A184" s="29">
        <v>182</v>
      </c>
      <c r="B184" s="80" t="s">
        <v>553</v>
      </c>
      <c r="C184" s="43" t="s">
        <v>299</v>
      </c>
      <c r="D184" s="18"/>
      <c r="E184" s="16">
        <v>18</v>
      </c>
      <c r="F184" s="33">
        <v>19</v>
      </c>
      <c r="G184" s="16"/>
      <c r="I184" s="34"/>
      <c r="J184" s="35"/>
      <c r="K184" s="36"/>
      <c r="L184" s="19"/>
      <c r="M184" s="34"/>
      <c r="N184" s="40"/>
      <c r="O184" s="41"/>
      <c r="P184" s="19"/>
      <c r="Q184" s="34"/>
      <c r="R184" s="40"/>
      <c r="S184" s="41"/>
      <c r="T184" s="19"/>
      <c r="U184" s="34"/>
      <c r="V184" s="40"/>
      <c r="W184" s="41"/>
      <c r="X184" s="19"/>
      <c r="Y184" s="34"/>
      <c r="Z184" s="40"/>
      <c r="AA184" s="41"/>
      <c r="AB184" s="19"/>
      <c r="AC184" s="34"/>
      <c r="AD184" s="40"/>
      <c r="AE184" s="41"/>
      <c r="AG184" s="34"/>
      <c r="AH184" s="40"/>
      <c r="AI184" s="41"/>
      <c r="AK184" s="34"/>
      <c r="AL184" s="40"/>
      <c r="AM184" s="41"/>
      <c r="AO184" s="34"/>
      <c r="AP184" s="40"/>
      <c r="AQ184" s="41"/>
      <c r="AS184" s="34"/>
      <c r="AT184" s="40"/>
      <c r="AU184" s="41"/>
      <c r="AW184" s="34"/>
      <c r="AX184" s="40"/>
      <c r="AY184" s="41"/>
      <c r="BA184" s="34"/>
      <c r="BB184" s="40"/>
      <c r="BC184" s="41"/>
      <c r="BE184" s="34"/>
      <c r="BF184" s="40"/>
      <c r="BG184" s="41"/>
      <c r="BI184" s="34"/>
      <c r="BJ184" s="40"/>
      <c r="BK184" s="41"/>
      <c r="BM184" s="38">
        <f t="shared" si="3"/>
        <v>0</v>
      </c>
      <c r="BN184" s="19"/>
    </row>
    <row r="185" spans="1:66" ht="15.75" hidden="1" x14ac:dyDescent="0.25">
      <c r="A185" s="29">
        <v>183</v>
      </c>
      <c r="B185" s="80" t="s">
        <v>553</v>
      </c>
      <c r="C185" s="43" t="s">
        <v>299</v>
      </c>
      <c r="D185" s="18"/>
      <c r="E185" s="16">
        <v>20</v>
      </c>
      <c r="F185" s="33">
        <v>20</v>
      </c>
      <c r="G185" s="16"/>
      <c r="I185" s="34"/>
      <c r="J185" s="35"/>
      <c r="K185" s="36"/>
      <c r="L185" s="19"/>
      <c r="M185" s="34"/>
      <c r="N185" s="40"/>
      <c r="O185" s="41"/>
      <c r="P185" s="19"/>
      <c r="Q185" s="34"/>
      <c r="R185" s="40"/>
      <c r="S185" s="41"/>
      <c r="T185" s="19"/>
      <c r="U185" s="34"/>
      <c r="V185" s="40"/>
      <c r="W185" s="41"/>
      <c r="X185" s="19"/>
      <c r="Y185" s="34"/>
      <c r="Z185" s="40"/>
      <c r="AA185" s="41"/>
      <c r="AB185" s="19"/>
      <c r="AC185" s="34"/>
      <c r="AD185" s="40"/>
      <c r="AE185" s="41"/>
      <c r="AG185" s="34"/>
      <c r="AH185" s="40"/>
      <c r="AI185" s="41"/>
      <c r="AK185" s="34"/>
      <c r="AL185" s="40"/>
      <c r="AM185" s="41"/>
      <c r="AO185" s="34"/>
      <c r="AP185" s="40"/>
      <c r="AQ185" s="41"/>
      <c r="AS185" s="34"/>
      <c r="AT185" s="40"/>
      <c r="AU185" s="41"/>
      <c r="AW185" s="34"/>
      <c r="AX185" s="40"/>
      <c r="AY185" s="41"/>
      <c r="BA185" s="34"/>
      <c r="BB185" s="40"/>
      <c r="BC185" s="41"/>
      <c r="BE185" s="34"/>
      <c r="BF185" s="40"/>
      <c r="BG185" s="41"/>
      <c r="BI185" s="34"/>
      <c r="BJ185" s="40"/>
      <c r="BK185" s="41"/>
      <c r="BM185" s="38">
        <f t="shared" si="3"/>
        <v>0</v>
      </c>
      <c r="BN185" s="19"/>
    </row>
    <row r="186" spans="1:66" ht="15.75" hidden="1" x14ac:dyDescent="0.25">
      <c r="A186" s="81"/>
      <c r="B186" s="82"/>
      <c r="C186" s="83"/>
      <c r="D186" s="84"/>
      <c r="E186" s="19"/>
      <c r="F186" s="21"/>
      <c r="J186" s="85"/>
      <c r="K186" s="21"/>
      <c r="M186" s="86"/>
      <c r="O186" s="87"/>
      <c r="P186" s="88"/>
      <c r="Q186" s="86"/>
      <c r="S186" s="21"/>
      <c r="AA186" s="21"/>
      <c r="BM186" s="86"/>
    </row>
    <row r="187" spans="1:66" ht="15.75" hidden="1" x14ac:dyDescent="0.25">
      <c r="A187" s="81"/>
      <c r="B187" s="82"/>
      <c r="C187" s="83"/>
      <c r="D187" s="84"/>
      <c r="E187" s="19"/>
      <c r="F187" s="21"/>
      <c r="J187" s="85"/>
      <c r="K187" s="21"/>
      <c r="M187" s="86"/>
      <c r="O187" s="87"/>
      <c r="P187" s="88"/>
      <c r="Q187" s="86"/>
      <c r="S187" s="21"/>
      <c r="AA187" s="21"/>
      <c r="BM187" s="86"/>
    </row>
    <row r="188" spans="1:66" hidden="1" x14ac:dyDescent="0.25"/>
    <row r="189" spans="1:66" hidden="1" x14ac:dyDescent="0.25"/>
    <row r="190" spans="1:66" hidden="1" x14ac:dyDescent="0.25"/>
    <row r="191" spans="1:66" hidden="1" x14ac:dyDescent="0.25"/>
    <row r="192" spans="1:66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3:55" hidden="1" x14ac:dyDescent="0.25"/>
    <row r="498" spans="3:55" hidden="1" x14ac:dyDescent="0.25"/>
    <row r="499" spans="3:55" hidden="1" x14ac:dyDescent="0.25"/>
    <row r="500" spans="3:55" hidden="1" x14ac:dyDescent="0.25"/>
    <row r="503" spans="3:55" x14ac:dyDescent="0.25">
      <c r="BC503" t="s">
        <v>1123</v>
      </c>
    </row>
    <row r="509" spans="3:55" x14ac:dyDescent="0.25">
      <c r="C509" t="s">
        <v>565</v>
      </c>
    </row>
  </sheetData>
  <mergeCells count="16">
    <mergeCell ref="BA1:BC1"/>
    <mergeCell ref="BE1:BG1"/>
    <mergeCell ref="BI1:BK1"/>
    <mergeCell ref="BM1:BM2"/>
    <mergeCell ref="BN1:BN2"/>
    <mergeCell ref="AW1:AY1"/>
    <mergeCell ref="I1:K1"/>
    <mergeCell ref="M1:O1"/>
    <mergeCell ref="Q1:S1"/>
    <mergeCell ref="U1:W1"/>
    <mergeCell ref="Y1:AA1"/>
    <mergeCell ref="AC1:AE1"/>
    <mergeCell ref="AG1:AI1"/>
    <mergeCell ref="AK1:AM1"/>
    <mergeCell ref="AO1:AQ1"/>
    <mergeCell ref="AS1:AU1"/>
  </mergeCells>
  <phoneticPr fontId="38" type="noConversion"/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FE6D-8969-4C1D-AF46-208201454546}">
  <sheetPr codeName="Sheet2">
    <tabColor theme="8" tint="0.59999389629810485"/>
    <pageSetUpPr fitToPage="1"/>
  </sheetPr>
  <dimension ref="A1:U1129"/>
  <sheetViews>
    <sheetView rightToLeft="1" tabSelected="1" topLeftCell="A2" zoomScaleNormal="100" workbookViewId="0">
      <pane ySplit="1" topLeftCell="A681" activePane="bottomLeft" state="frozen"/>
      <selection activeCell="A2" sqref="A2"/>
      <selection pane="bottomLeft" activeCell="L691" sqref="L691"/>
    </sheetView>
  </sheetViews>
  <sheetFormatPr defaultRowHeight="15" x14ac:dyDescent="0.25"/>
  <cols>
    <col min="1" max="1" width="7.85546875" bestFit="1" customWidth="1"/>
    <col min="2" max="3" width="12.7109375" customWidth="1"/>
    <col min="4" max="4" width="19.5703125" customWidth="1"/>
    <col min="5" max="5" width="20.28515625" bestFit="1" customWidth="1"/>
    <col min="6" max="6" width="45.140625" style="19" bestFit="1" customWidth="1"/>
    <col min="7" max="7" width="5.140625" style="19" customWidth="1"/>
    <col min="8" max="8" width="17" customWidth="1"/>
    <col min="9" max="9" width="20" customWidth="1"/>
    <col min="10" max="10" width="10.140625" bestFit="1" customWidth="1"/>
    <col min="11" max="11" width="5" customWidth="1"/>
    <col min="12" max="12" width="5.5703125" customWidth="1"/>
    <col min="13" max="13" width="9.42578125" customWidth="1"/>
    <col min="14" max="14" width="9.85546875" customWidth="1"/>
    <col min="15" max="15" width="8.85546875" customWidth="1"/>
    <col min="16" max="16" width="5.5703125" bestFit="1" customWidth="1"/>
    <col min="17" max="17" width="7.28515625" customWidth="1"/>
    <col min="18" max="18" width="13.7109375" bestFit="1" customWidth="1"/>
    <col min="20" max="20" width="14.42578125" bestFit="1" customWidth="1"/>
  </cols>
  <sheetData>
    <row r="1" spans="1:9" ht="21" x14ac:dyDescent="0.25">
      <c r="A1" s="259" t="s">
        <v>214</v>
      </c>
      <c r="B1" s="259"/>
      <c r="C1" s="259"/>
      <c r="D1" s="259"/>
      <c r="E1" s="259"/>
      <c r="F1" s="259"/>
      <c r="G1" s="259"/>
      <c r="H1" s="259"/>
      <c r="I1" s="259"/>
    </row>
    <row r="2" spans="1:9" ht="22.5" customHeight="1" x14ac:dyDescent="0.25">
      <c r="A2" s="1" t="s">
        <v>0</v>
      </c>
      <c r="B2" s="89" t="s">
        <v>1</v>
      </c>
      <c r="C2" s="90" t="s">
        <v>2</v>
      </c>
      <c r="D2" s="90" t="s">
        <v>3</v>
      </c>
      <c r="E2" s="90" t="s">
        <v>4</v>
      </c>
      <c r="F2" s="91" t="s">
        <v>5</v>
      </c>
      <c r="G2" s="90" t="s">
        <v>615</v>
      </c>
      <c r="H2" s="2" t="s">
        <v>6</v>
      </c>
      <c r="I2" s="3" t="s">
        <v>7</v>
      </c>
    </row>
    <row r="3" spans="1:9" ht="15.75" x14ac:dyDescent="0.25">
      <c r="A3" s="4">
        <v>1</v>
      </c>
      <c r="B3" s="5" t="s">
        <v>8</v>
      </c>
      <c r="C3" s="6">
        <v>46025</v>
      </c>
      <c r="D3" s="7" t="s">
        <v>9</v>
      </c>
      <c r="E3" s="8" t="s">
        <v>10</v>
      </c>
      <c r="F3" s="100" t="s">
        <v>11</v>
      </c>
      <c r="G3" s="100" t="s">
        <v>616</v>
      </c>
      <c r="H3" s="9"/>
      <c r="I3" s="10">
        <v>350000</v>
      </c>
    </row>
    <row r="4" spans="1:9" ht="15.75" x14ac:dyDescent="0.25">
      <c r="A4" s="4">
        <v>2</v>
      </c>
      <c r="B4" s="5" t="s">
        <v>12</v>
      </c>
      <c r="C4" s="6">
        <v>46025</v>
      </c>
      <c r="D4" s="7" t="s">
        <v>9</v>
      </c>
      <c r="E4" s="8" t="s">
        <v>13</v>
      </c>
      <c r="F4" s="100" t="s">
        <v>14</v>
      </c>
      <c r="G4" s="100" t="s">
        <v>616</v>
      </c>
      <c r="H4" s="9"/>
      <c r="I4" s="10">
        <v>2000000</v>
      </c>
    </row>
    <row r="5" spans="1:9" ht="15.75" x14ac:dyDescent="0.25">
      <c r="A5" s="4">
        <v>3</v>
      </c>
      <c r="B5" s="5" t="s">
        <v>16</v>
      </c>
      <c r="C5" s="6">
        <v>46025</v>
      </c>
      <c r="D5" s="7" t="s">
        <v>9</v>
      </c>
      <c r="E5" s="8" t="s">
        <v>17</v>
      </c>
      <c r="F5" s="101" t="s">
        <v>18</v>
      </c>
      <c r="G5" s="100" t="s">
        <v>616</v>
      </c>
      <c r="H5" s="9"/>
      <c r="I5" s="10">
        <v>2500000</v>
      </c>
    </row>
    <row r="6" spans="1:9" ht="15.75" x14ac:dyDescent="0.25">
      <c r="A6" s="4">
        <v>4</v>
      </c>
      <c r="B6" s="5" t="s">
        <v>19</v>
      </c>
      <c r="C6" s="6">
        <v>46025</v>
      </c>
      <c r="D6" s="7" t="s">
        <v>9</v>
      </c>
      <c r="E6" s="8" t="s">
        <v>1200</v>
      </c>
      <c r="F6" s="101" t="s">
        <v>20</v>
      </c>
      <c r="G6" s="100" t="s">
        <v>616</v>
      </c>
      <c r="H6" s="9"/>
      <c r="I6" s="10">
        <v>1500000</v>
      </c>
    </row>
    <row r="7" spans="1:9" ht="15.75" x14ac:dyDescent="0.25">
      <c r="A7" s="4">
        <v>5</v>
      </c>
      <c r="B7" s="5" t="s">
        <v>22</v>
      </c>
      <c r="C7" s="6">
        <v>46025</v>
      </c>
      <c r="D7" s="11" t="s">
        <v>9</v>
      </c>
      <c r="E7" s="8" t="s">
        <v>1088</v>
      </c>
      <c r="F7" s="100" t="s">
        <v>569</v>
      </c>
      <c r="G7" s="100" t="s">
        <v>616</v>
      </c>
      <c r="H7" s="9" t="s">
        <v>17</v>
      </c>
      <c r="I7" s="10">
        <v>500000</v>
      </c>
    </row>
    <row r="8" spans="1:9" ht="15.75" x14ac:dyDescent="0.25">
      <c r="A8" s="4">
        <v>6</v>
      </c>
      <c r="B8" s="5" t="s">
        <v>24</v>
      </c>
      <c r="C8" s="6">
        <v>46025</v>
      </c>
      <c r="D8" s="11" t="s">
        <v>587</v>
      </c>
      <c r="E8" s="8" t="s">
        <v>25</v>
      </c>
      <c r="F8" s="100" t="s">
        <v>568</v>
      </c>
      <c r="G8" s="100" t="s">
        <v>616</v>
      </c>
      <c r="H8" s="9"/>
      <c r="I8" s="10">
        <v>400000</v>
      </c>
    </row>
    <row r="9" spans="1:9" ht="15.75" x14ac:dyDescent="0.25">
      <c r="A9" s="4">
        <v>7</v>
      </c>
      <c r="B9" s="5" t="s">
        <v>27</v>
      </c>
      <c r="C9" s="6">
        <v>46025</v>
      </c>
      <c r="D9" s="7" t="s">
        <v>9</v>
      </c>
      <c r="E9" s="8" t="s">
        <v>28</v>
      </c>
      <c r="F9" s="101" t="s">
        <v>29</v>
      </c>
      <c r="G9" s="100" t="s">
        <v>616</v>
      </c>
      <c r="H9" s="9"/>
      <c r="I9" s="10">
        <v>175000</v>
      </c>
    </row>
    <row r="10" spans="1:9" ht="15.75" x14ac:dyDescent="0.25">
      <c r="A10" s="4">
        <v>8</v>
      </c>
      <c r="B10" s="5" t="s">
        <v>30</v>
      </c>
      <c r="C10" s="6">
        <v>46025</v>
      </c>
      <c r="D10" s="7" t="s">
        <v>9</v>
      </c>
      <c r="E10" s="12" t="s">
        <v>31</v>
      </c>
      <c r="F10" s="101" t="s">
        <v>32</v>
      </c>
      <c r="G10" s="100" t="s">
        <v>616</v>
      </c>
      <c r="H10" s="9"/>
      <c r="I10" s="10">
        <v>2535000</v>
      </c>
    </row>
    <row r="11" spans="1:9" ht="15.75" x14ac:dyDescent="0.25">
      <c r="A11" s="4">
        <v>9</v>
      </c>
      <c r="B11" s="5" t="s">
        <v>33</v>
      </c>
      <c r="C11" s="6">
        <v>46025</v>
      </c>
      <c r="D11" s="11" t="s">
        <v>15</v>
      </c>
      <c r="E11" s="12" t="s">
        <v>34</v>
      </c>
      <c r="F11" s="101" t="s">
        <v>35</v>
      </c>
      <c r="G11" s="100" t="s">
        <v>616</v>
      </c>
      <c r="H11" s="9" t="s">
        <v>886</v>
      </c>
      <c r="I11" s="10">
        <v>6000000</v>
      </c>
    </row>
    <row r="12" spans="1:9" ht="15.75" x14ac:dyDescent="0.25">
      <c r="A12" s="4">
        <v>10</v>
      </c>
      <c r="B12" s="5" t="s">
        <v>36</v>
      </c>
      <c r="C12" s="6">
        <v>46025</v>
      </c>
      <c r="D12" s="11" t="s">
        <v>15</v>
      </c>
      <c r="E12" s="12" t="s">
        <v>37</v>
      </c>
      <c r="F12" s="101" t="s">
        <v>38</v>
      </c>
      <c r="G12" s="100" t="s">
        <v>616</v>
      </c>
      <c r="H12" s="9" t="s">
        <v>886</v>
      </c>
      <c r="I12" s="10">
        <v>2000000</v>
      </c>
    </row>
    <row r="13" spans="1:9" ht="15.75" x14ac:dyDescent="0.25">
      <c r="A13" s="4">
        <v>11</v>
      </c>
      <c r="B13" s="5" t="s">
        <v>39</v>
      </c>
      <c r="C13" s="6">
        <v>46025</v>
      </c>
      <c r="D13" s="11" t="s">
        <v>15</v>
      </c>
      <c r="E13" s="13" t="s">
        <v>40</v>
      </c>
      <c r="F13" s="101" t="s">
        <v>41</v>
      </c>
      <c r="G13" s="100" t="s">
        <v>616</v>
      </c>
      <c r="H13" s="9" t="s">
        <v>886</v>
      </c>
      <c r="I13" s="10">
        <v>2000000</v>
      </c>
    </row>
    <row r="14" spans="1:9" ht="15.75" x14ac:dyDescent="0.25">
      <c r="A14" s="4">
        <v>12</v>
      </c>
      <c r="B14" s="5" t="s">
        <v>42</v>
      </c>
      <c r="C14" s="6">
        <v>46026</v>
      </c>
      <c r="D14" s="7" t="s">
        <v>9</v>
      </c>
      <c r="E14" s="12" t="s">
        <v>43</v>
      </c>
      <c r="F14" s="101" t="s">
        <v>44</v>
      </c>
      <c r="G14" s="100" t="s">
        <v>616</v>
      </c>
      <c r="H14" s="9" t="s">
        <v>17</v>
      </c>
      <c r="I14" s="10">
        <v>775000</v>
      </c>
    </row>
    <row r="15" spans="1:9" ht="15.75" x14ac:dyDescent="0.25">
      <c r="A15" s="4">
        <v>13</v>
      </c>
      <c r="B15" s="5" t="s">
        <v>45</v>
      </c>
      <c r="C15" s="6">
        <v>46026</v>
      </c>
      <c r="D15" s="11" t="s">
        <v>21</v>
      </c>
      <c r="E15" s="13" t="s">
        <v>46</v>
      </c>
      <c r="F15" s="101" t="s">
        <v>21</v>
      </c>
      <c r="G15" s="100" t="s">
        <v>616</v>
      </c>
      <c r="H15" s="9"/>
      <c r="I15" s="10">
        <v>22000</v>
      </c>
    </row>
    <row r="16" spans="1:9" ht="15.75" x14ac:dyDescent="0.25">
      <c r="A16" s="4">
        <v>14</v>
      </c>
      <c r="B16" s="5" t="s">
        <v>47</v>
      </c>
      <c r="C16" s="6">
        <v>46026</v>
      </c>
      <c r="D16" s="11" t="s">
        <v>15</v>
      </c>
      <c r="E16" s="12" t="s">
        <v>48</v>
      </c>
      <c r="F16" s="101" t="s">
        <v>49</v>
      </c>
      <c r="G16" s="100" t="s">
        <v>616</v>
      </c>
      <c r="H16" s="9" t="s">
        <v>886</v>
      </c>
      <c r="I16" s="10">
        <v>3000000</v>
      </c>
    </row>
    <row r="17" spans="1:9" ht="15.75" x14ac:dyDescent="0.25">
      <c r="A17" s="4">
        <v>15</v>
      </c>
      <c r="B17" s="5" t="s">
        <v>50</v>
      </c>
      <c r="C17" s="6">
        <v>46026</v>
      </c>
      <c r="D17" s="11" t="s">
        <v>587</v>
      </c>
      <c r="E17" s="8" t="s">
        <v>51</v>
      </c>
      <c r="F17" s="100" t="s">
        <v>568</v>
      </c>
      <c r="G17" s="100" t="s">
        <v>616</v>
      </c>
      <c r="H17" s="9" t="s">
        <v>53</v>
      </c>
      <c r="I17" s="10">
        <v>500000</v>
      </c>
    </row>
    <row r="18" spans="1:9" ht="15.75" x14ac:dyDescent="0.25">
      <c r="A18" s="4">
        <v>16</v>
      </c>
      <c r="B18" s="5" t="s">
        <v>54</v>
      </c>
      <c r="C18" s="6">
        <v>46026</v>
      </c>
      <c r="D18" s="11" t="s">
        <v>587</v>
      </c>
      <c r="E18" s="8" t="s">
        <v>55</v>
      </c>
      <c r="F18" s="100" t="s">
        <v>568</v>
      </c>
      <c r="G18" s="100" t="s">
        <v>616</v>
      </c>
      <c r="H18" s="9" t="s">
        <v>53</v>
      </c>
      <c r="I18" s="10">
        <v>500000</v>
      </c>
    </row>
    <row r="19" spans="1:9" ht="15.75" x14ac:dyDescent="0.25">
      <c r="A19" s="4">
        <v>17</v>
      </c>
      <c r="B19" s="5" t="s">
        <v>56</v>
      </c>
      <c r="C19" s="6">
        <v>46026</v>
      </c>
      <c r="D19" s="11" t="s">
        <v>587</v>
      </c>
      <c r="E19" s="8" t="s">
        <v>46</v>
      </c>
      <c r="F19" s="100" t="s">
        <v>568</v>
      </c>
      <c r="G19" s="100" t="s">
        <v>616</v>
      </c>
      <c r="H19" s="9" t="s">
        <v>57</v>
      </c>
      <c r="I19" s="10">
        <v>500000</v>
      </c>
    </row>
    <row r="20" spans="1:9" ht="15.75" x14ac:dyDescent="0.25">
      <c r="A20" s="4">
        <v>18</v>
      </c>
      <c r="B20" s="5" t="s">
        <v>58</v>
      </c>
      <c r="C20" s="6">
        <v>46026</v>
      </c>
      <c r="D20" s="11" t="s">
        <v>587</v>
      </c>
      <c r="E20" s="8" t="s">
        <v>59</v>
      </c>
      <c r="F20" s="100" t="s">
        <v>568</v>
      </c>
      <c r="G20" s="100" t="s">
        <v>616</v>
      </c>
      <c r="H20" s="9" t="s">
        <v>60</v>
      </c>
      <c r="I20" s="10">
        <v>500000</v>
      </c>
    </row>
    <row r="21" spans="1:9" ht="15.75" x14ac:dyDescent="0.25">
      <c r="A21" s="4">
        <v>19</v>
      </c>
      <c r="B21" s="5" t="s">
        <v>61</v>
      </c>
      <c r="C21" s="6">
        <v>46026</v>
      </c>
      <c r="D21" s="11" t="s">
        <v>587</v>
      </c>
      <c r="E21" s="8" t="s">
        <v>62</v>
      </c>
      <c r="F21" s="100" t="s">
        <v>568</v>
      </c>
      <c r="G21" s="100" t="s">
        <v>616</v>
      </c>
      <c r="H21" s="9" t="s">
        <v>63</v>
      </c>
      <c r="I21" s="10">
        <v>500000</v>
      </c>
    </row>
    <row r="22" spans="1:9" ht="15.75" x14ac:dyDescent="0.25">
      <c r="A22" s="4">
        <v>20</v>
      </c>
      <c r="B22" s="5" t="s">
        <v>64</v>
      </c>
      <c r="C22" s="6">
        <v>46027</v>
      </c>
      <c r="D22" s="11" t="s">
        <v>587</v>
      </c>
      <c r="E22" s="8" t="s">
        <v>65</v>
      </c>
      <c r="F22" s="100" t="s">
        <v>568</v>
      </c>
      <c r="G22" s="100" t="s">
        <v>616</v>
      </c>
      <c r="H22" s="9" t="s">
        <v>66</v>
      </c>
      <c r="I22" s="10">
        <v>500000</v>
      </c>
    </row>
    <row r="23" spans="1:9" ht="15.75" x14ac:dyDescent="0.25">
      <c r="A23" s="4">
        <v>21</v>
      </c>
      <c r="B23" s="5" t="s">
        <v>67</v>
      </c>
      <c r="C23" s="6">
        <v>46027</v>
      </c>
      <c r="D23" s="11" t="s">
        <v>21</v>
      </c>
      <c r="E23" s="8" t="s">
        <v>68</v>
      </c>
      <c r="F23" s="101" t="s">
        <v>69</v>
      </c>
      <c r="G23" s="100" t="s">
        <v>616</v>
      </c>
      <c r="H23" s="9"/>
      <c r="I23" s="10">
        <v>1500000</v>
      </c>
    </row>
    <row r="24" spans="1:9" ht="15.75" x14ac:dyDescent="0.25">
      <c r="A24" s="4">
        <v>22</v>
      </c>
      <c r="B24" s="5" t="s">
        <v>70</v>
      </c>
      <c r="C24" s="6">
        <v>46028</v>
      </c>
      <c r="D24" s="11" t="s">
        <v>15</v>
      </c>
      <c r="E24" s="12" t="s">
        <v>71</v>
      </c>
      <c r="F24" s="101" t="s">
        <v>72</v>
      </c>
      <c r="G24" s="100" t="s">
        <v>616</v>
      </c>
      <c r="H24" s="9" t="s">
        <v>886</v>
      </c>
      <c r="I24" s="10">
        <v>4000000</v>
      </c>
    </row>
    <row r="25" spans="1:9" ht="15.75" x14ac:dyDescent="0.25">
      <c r="A25" s="4">
        <v>23</v>
      </c>
      <c r="B25" s="5" t="s">
        <v>73</v>
      </c>
      <c r="C25" s="6">
        <v>46029</v>
      </c>
      <c r="D25" s="11" t="s">
        <v>15</v>
      </c>
      <c r="E25" s="12" t="s">
        <v>74</v>
      </c>
      <c r="F25" s="101" t="s">
        <v>75</v>
      </c>
      <c r="G25" s="100" t="s">
        <v>616</v>
      </c>
      <c r="H25" s="9" t="s">
        <v>886</v>
      </c>
      <c r="I25" s="10">
        <v>6000000</v>
      </c>
    </row>
    <row r="26" spans="1:9" ht="15.75" x14ac:dyDescent="0.25">
      <c r="A26" s="4">
        <v>24</v>
      </c>
      <c r="B26" s="5" t="s">
        <v>76</v>
      </c>
      <c r="C26" s="6">
        <v>46029</v>
      </c>
      <c r="D26" s="11" t="s">
        <v>15</v>
      </c>
      <c r="E26" s="12" t="s">
        <v>77</v>
      </c>
      <c r="F26" s="101" t="s">
        <v>78</v>
      </c>
      <c r="G26" s="100" t="s">
        <v>616</v>
      </c>
      <c r="H26" s="9" t="s">
        <v>886</v>
      </c>
      <c r="I26" s="10">
        <v>6000000</v>
      </c>
    </row>
    <row r="27" spans="1:9" ht="15.75" x14ac:dyDescent="0.25">
      <c r="A27" s="4">
        <v>25</v>
      </c>
      <c r="B27" s="5" t="s">
        <v>79</v>
      </c>
      <c r="C27" s="6">
        <v>46029</v>
      </c>
      <c r="D27" s="11" t="s">
        <v>15</v>
      </c>
      <c r="E27" s="12" t="s">
        <v>80</v>
      </c>
      <c r="F27" s="101" t="s">
        <v>81</v>
      </c>
      <c r="G27" s="100" t="s">
        <v>616</v>
      </c>
      <c r="H27" s="9" t="s">
        <v>886</v>
      </c>
      <c r="I27" s="10">
        <v>7000000</v>
      </c>
    </row>
    <row r="28" spans="1:9" ht="15.75" x14ac:dyDescent="0.25">
      <c r="A28" s="4">
        <v>26</v>
      </c>
      <c r="B28" s="5" t="s">
        <v>82</v>
      </c>
      <c r="C28" s="6">
        <v>46030</v>
      </c>
      <c r="D28" s="11" t="s">
        <v>9</v>
      </c>
      <c r="E28" s="8" t="s">
        <v>83</v>
      </c>
      <c r="F28" s="100" t="s">
        <v>84</v>
      </c>
      <c r="G28" s="100" t="s">
        <v>616</v>
      </c>
      <c r="H28" s="9"/>
      <c r="I28" s="10">
        <v>3000000</v>
      </c>
    </row>
    <row r="29" spans="1:9" ht="15.75" x14ac:dyDescent="0.25">
      <c r="A29" s="4">
        <v>27</v>
      </c>
      <c r="B29" s="5" t="s">
        <v>85</v>
      </c>
      <c r="C29" s="6">
        <v>46030</v>
      </c>
      <c r="D29" s="11" t="s">
        <v>9</v>
      </c>
      <c r="E29" s="8" t="s">
        <v>86</v>
      </c>
      <c r="F29" s="100" t="s">
        <v>87</v>
      </c>
      <c r="G29" s="100" t="s">
        <v>616</v>
      </c>
      <c r="H29" s="9"/>
      <c r="I29" s="10">
        <v>490000</v>
      </c>
    </row>
    <row r="30" spans="1:9" ht="15.75" x14ac:dyDescent="0.25">
      <c r="A30" s="4">
        <v>28</v>
      </c>
      <c r="B30" s="5" t="s">
        <v>88</v>
      </c>
      <c r="C30" s="6">
        <v>46030</v>
      </c>
      <c r="D30" s="11" t="s">
        <v>9</v>
      </c>
      <c r="E30" s="8" t="s">
        <v>89</v>
      </c>
      <c r="F30" s="101" t="s">
        <v>90</v>
      </c>
      <c r="G30" s="100" t="s">
        <v>616</v>
      </c>
      <c r="H30" s="9"/>
      <c r="I30" s="10">
        <v>4250000</v>
      </c>
    </row>
    <row r="31" spans="1:9" ht="15.75" x14ac:dyDescent="0.25">
      <c r="A31" s="4">
        <v>29</v>
      </c>
      <c r="B31" s="5" t="s">
        <v>91</v>
      </c>
      <c r="C31" s="6">
        <v>46030</v>
      </c>
      <c r="D31" s="11" t="s">
        <v>587</v>
      </c>
      <c r="E31" s="8" t="s">
        <v>92</v>
      </c>
      <c r="F31" s="100" t="s">
        <v>568</v>
      </c>
      <c r="G31" s="100" t="s">
        <v>616</v>
      </c>
      <c r="H31" s="9"/>
      <c r="I31" s="10">
        <v>1500000</v>
      </c>
    </row>
    <row r="32" spans="1:9" ht="15.75" x14ac:dyDescent="0.25">
      <c r="A32" s="4">
        <v>30</v>
      </c>
      <c r="B32" s="5" t="s">
        <v>93</v>
      </c>
      <c r="C32" s="6">
        <v>46030</v>
      </c>
      <c r="D32" s="11" t="s">
        <v>9</v>
      </c>
      <c r="E32" s="8" t="s">
        <v>94</v>
      </c>
      <c r="F32" s="101" t="s">
        <v>95</v>
      </c>
      <c r="G32" s="100" t="s">
        <v>616</v>
      </c>
      <c r="H32" s="9"/>
      <c r="I32" s="10">
        <v>600000</v>
      </c>
    </row>
    <row r="33" spans="1:9" ht="15.75" x14ac:dyDescent="0.25">
      <c r="A33" s="4">
        <v>31</v>
      </c>
      <c r="B33" s="5" t="s">
        <v>96</v>
      </c>
      <c r="C33" s="6">
        <v>46030</v>
      </c>
      <c r="D33" s="11" t="s">
        <v>587</v>
      </c>
      <c r="E33" s="12" t="s">
        <v>97</v>
      </c>
      <c r="F33" s="100" t="s">
        <v>568</v>
      </c>
      <c r="G33" s="100" t="s">
        <v>616</v>
      </c>
      <c r="H33" s="9"/>
      <c r="I33" s="10">
        <v>1000000</v>
      </c>
    </row>
    <row r="34" spans="1:9" ht="15.75" x14ac:dyDescent="0.25">
      <c r="A34" s="4">
        <v>32</v>
      </c>
      <c r="B34" s="5" t="s">
        <v>98</v>
      </c>
      <c r="C34" s="6">
        <v>46030</v>
      </c>
      <c r="D34" s="11" t="s">
        <v>21</v>
      </c>
      <c r="E34" s="12" t="s">
        <v>99</v>
      </c>
      <c r="F34" s="101" t="s">
        <v>100</v>
      </c>
      <c r="G34" s="100" t="s">
        <v>616</v>
      </c>
      <c r="H34" s="9"/>
      <c r="I34" s="10">
        <v>1000000</v>
      </c>
    </row>
    <row r="35" spans="1:9" ht="15.75" x14ac:dyDescent="0.25">
      <c r="A35" s="4">
        <v>33</v>
      </c>
      <c r="B35" s="5" t="s">
        <v>101</v>
      </c>
      <c r="C35" s="6">
        <v>46030</v>
      </c>
      <c r="D35" s="11" t="s">
        <v>21</v>
      </c>
      <c r="E35" s="8" t="s">
        <v>102</v>
      </c>
      <c r="F35" s="102" t="s">
        <v>103</v>
      </c>
      <c r="G35" s="100" t="s">
        <v>616</v>
      </c>
      <c r="H35" s="9"/>
      <c r="I35" s="10">
        <v>10000</v>
      </c>
    </row>
    <row r="36" spans="1:9" ht="15.75" x14ac:dyDescent="0.25">
      <c r="A36" s="4">
        <v>34</v>
      </c>
      <c r="B36" s="5" t="s">
        <v>104</v>
      </c>
      <c r="C36" s="6">
        <v>46030</v>
      </c>
      <c r="D36" s="11" t="s">
        <v>23</v>
      </c>
      <c r="E36" s="8" t="s">
        <v>105</v>
      </c>
      <c r="F36" s="101" t="s">
        <v>106</v>
      </c>
      <c r="G36" s="100" t="s">
        <v>616</v>
      </c>
      <c r="H36" s="9"/>
      <c r="I36" s="10">
        <v>500000</v>
      </c>
    </row>
    <row r="37" spans="1:9" ht="15.75" x14ac:dyDescent="0.25">
      <c r="A37" s="4">
        <v>35</v>
      </c>
      <c r="B37" s="5" t="s">
        <v>107</v>
      </c>
      <c r="C37" s="6">
        <v>46030</v>
      </c>
      <c r="D37" s="11" t="s">
        <v>9</v>
      </c>
      <c r="E37" s="14" t="s">
        <v>1200</v>
      </c>
      <c r="F37" s="101" t="s">
        <v>108</v>
      </c>
      <c r="G37" s="100" t="s">
        <v>616</v>
      </c>
      <c r="H37" s="9"/>
      <c r="I37" s="10">
        <v>1350000</v>
      </c>
    </row>
    <row r="38" spans="1:9" ht="15.75" x14ac:dyDescent="0.25">
      <c r="A38" s="4">
        <v>36</v>
      </c>
      <c r="B38" s="5" t="s">
        <v>109</v>
      </c>
      <c r="C38" s="6">
        <v>46030</v>
      </c>
      <c r="D38" s="11" t="s">
        <v>23</v>
      </c>
      <c r="E38" s="8" t="s">
        <v>51</v>
      </c>
      <c r="F38" s="101" t="s">
        <v>106</v>
      </c>
      <c r="G38" s="100" t="s">
        <v>616</v>
      </c>
      <c r="H38" s="9"/>
      <c r="I38" s="10">
        <v>500000</v>
      </c>
    </row>
    <row r="39" spans="1:9" ht="15.75" x14ac:dyDescent="0.25">
      <c r="A39" s="4">
        <v>37</v>
      </c>
      <c r="B39" s="5" t="s">
        <v>110</v>
      </c>
      <c r="C39" s="6">
        <v>46032</v>
      </c>
      <c r="D39" s="11" t="s">
        <v>9</v>
      </c>
      <c r="E39" s="8" t="s">
        <v>111</v>
      </c>
      <c r="F39" s="101" t="s">
        <v>112</v>
      </c>
      <c r="G39" s="100" t="s">
        <v>616</v>
      </c>
      <c r="H39" s="9" t="s">
        <v>17</v>
      </c>
      <c r="I39" s="10">
        <v>900000</v>
      </c>
    </row>
    <row r="40" spans="1:9" ht="15.75" x14ac:dyDescent="0.25">
      <c r="A40" s="4">
        <v>38</v>
      </c>
      <c r="B40" s="5" t="s">
        <v>113</v>
      </c>
      <c r="C40" s="6">
        <v>46032</v>
      </c>
      <c r="D40" s="11" t="s">
        <v>9</v>
      </c>
      <c r="E40" s="15" t="s">
        <v>114</v>
      </c>
      <c r="F40" s="101" t="s">
        <v>115</v>
      </c>
      <c r="G40" s="100" t="s">
        <v>616</v>
      </c>
      <c r="H40" s="9"/>
      <c r="I40" s="10">
        <v>800000</v>
      </c>
    </row>
    <row r="41" spans="1:9" ht="15.75" x14ac:dyDescent="0.25">
      <c r="A41" s="4">
        <v>39</v>
      </c>
      <c r="B41" s="5" t="s">
        <v>116</v>
      </c>
      <c r="C41" s="6">
        <v>46032</v>
      </c>
      <c r="D41" s="11" t="s">
        <v>9</v>
      </c>
      <c r="E41" s="8" t="s">
        <v>117</v>
      </c>
      <c r="F41" s="101" t="s">
        <v>118</v>
      </c>
      <c r="G41" s="100" t="s">
        <v>616</v>
      </c>
      <c r="H41" s="9"/>
      <c r="I41" s="10">
        <v>2500000</v>
      </c>
    </row>
    <row r="42" spans="1:9" ht="15.75" x14ac:dyDescent="0.25">
      <c r="A42" s="4">
        <v>40</v>
      </c>
      <c r="B42" s="5" t="s">
        <v>119</v>
      </c>
      <c r="C42" s="6">
        <v>46032</v>
      </c>
      <c r="D42" s="11" t="s">
        <v>9</v>
      </c>
      <c r="E42" s="8" t="s">
        <v>13</v>
      </c>
      <c r="F42" s="100" t="s">
        <v>120</v>
      </c>
      <c r="G42" s="100" t="s">
        <v>616</v>
      </c>
      <c r="H42" s="9"/>
      <c r="I42" s="10">
        <v>2000000</v>
      </c>
    </row>
    <row r="43" spans="1:9" ht="15.75" x14ac:dyDescent="0.25">
      <c r="A43" s="4">
        <v>41</v>
      </c>
      <c r="B43" s="5" t="s">
        <v>121</v>
      </c>
      <c r="C43" s="6">
        <v>46032</v>
      </c>
      <c r="D43" s="11" t="s">
        <v>9</v>
      </c>
      <c r="E43" s="8" t="s">
        <v>122</v>
      </c>
      <c r="F43" s="101" t="s">
        <v>123</v>
      </c>
      <c r="G43" s="100" t="s">
        <v>616</v>
      </c>
      <c r="H43" s="9"/>
      <c r="I43" s="10">
        <v>1000000</v>
      </c>
    </row>
    <row r="44" spans="1:9" ht="15.75" x14ac:dyDescent="0.25">
      <c r="A44" s="4">
        <v>42</v>
      </c>
      <c r="B44" s="5" t="s">
        <v>124</v>
      </c>
      <c r="C44" s="6">
        <v>46032</v>
      </c>
      <c r="D44" s="11" t="s">
        <v>9</v>
      </c>
      <c r="E44" s="8" t="s">
        <v>17</v>
      </c>
      <c r="F44" s="101" t="s">
        <v>125</v>
      </c>
      <c r="G44" s="100" t="s">
        <v>616</v>
      </c>
      <c r="H44" s="9"/>
      <c r="I44" s="10">
        <v>100000</v>
      </c>
    </row>
    <row r="45" spans="1:9" ht="15.75" x14ac:dyDescent="0.25">
      <c r="A45" s="4">
        <v>43</v>
      </c>
      <c r="B45" s="5" t="s">
        <v>126</v>
      </c>
      <c r="C45" s="6">
        <v>46032</v>
      </c>
      <c r="D45" s="11" t="s">
        <v>9</v>
      </c>
      <c r="E45" s="8" t="s">
        <v>127</v>
      </c>
      <c r="F45" s="101" t="s">
        <v>128</v>
      </c>
      <c r="G45" s="100" t="s">
        <v>616</v>
      </c>
      <c r="H45" s="9"/>
      <c r="I45" s="10">
        <v>1250000</v>
      </c>
    </row>
    <row r="46" spans="1:9" ht="15.75" x14ac:dyDescent="0.25">
      <c r="A46" s="4">
        <v>44</v>
      </c>
      <c r="B46" s="5" t="s">
        <v>129</v>
      </c>
      <c r="C46" s="6">
        <v>46032</v>
      </c>
      <c r="D46" s="11" t="s">
        <v>587</v>
      </c>
      <c r="E46" s="8" t="s">
        <v>130</v>
      </c>
      <c r="F46" s="100" t="s">
        <v>52</v>
      </c>
      <c r="G46" s="100" t="s">
        <v>616</v>
      </c>
      <c r="H46" s="9"/>
      <c r="I46" s="10">
        <v>2000000</v>
      </c>
    </row>
    <row r="47" spans="1:9" ht="15.75" x14ac:dyDescent="0.25">
      <c r="A47" s="4">
        <v>45</v>
      </c>
      <c r="B47" s="5" t="s">
        <v>131</v>
      </c>
      <c r="C47" s="6">
        <v>46032</v>
      </c>
      <c r="D47" s="11" t="s">
        <v>9</v>
      </c>
      <c r="E47" s="8" t="s">
        <v>132</v>
      </c>
      <c r="F47" s="101" t="s">
        <v>133</v>
      </c>
      <c r="G47" s="100" t="s">
        <v>616</v>
      </c>
      <c r="H47" s="9"/>
      <c r="I47" s="10">
        <v>500000</v>
      </c>
    </row>
    <row r="48" spans="1:9" ht="15.75" x14ac:dyDescent="0.25">
      <c r="A48" s="4">
        <v>46</v>
      </c>
      <c r="B48" s="5" t="s">
        <v>134</v>
      </c>
      <c r="C48" s="6">
        <v>46032</v>
      </c>
      <c r="D48" s="11" t="s">
        <v>9</v>
      </c>
      <c r="E48" s="8" t="s">
        <v>17</v>
      </c>
      <c r="F48" s="101" t="s">
        <v>125</v>
      </c>
      <c r="G48" s="100" t="s">
        <v>616</v>
      </c>
      <c r="H48" s="9"/>
      <c r="I48" s="10">
        <v>150000</v>
      </c>
    </row>
    <row r="49" spans="1:9" ht="15.75" x14ac:dyDescent="0.25">
      <c r="A49" s="4">
        <v>47</v>
      </c>
      <c r="B49" s="5" t="s">
        <v>135</v>
      </c>
      <c r="C49" s="6">
        <v>46032</v>
      </c>
      <c r="D49" s="11" t="s">
        <v>23</v>
      </c>
      <c r="E49" s="8" t="s">
        <v>105</v>
      </c>
      <c r="F49" s="101" t="s">
        <v>136</v>
      </c>
      <c r="G49" s="100" t="s">
        <v>616</v>
      </c>
      <c r="H49" s="9"/>
      <c r="I49" s="10">
        <v>1900000</v>
      </c>
    </row>
    <row r="50" spans="1:9" ht="15.75" x14ac:dyDescent="0.25">
      <c r="A50" s="4">
        <v>48</v>
      </c>
      <c r="B50" s="5" t="s">
        <v>137</v>
      </c>
      <c r="C50" s="6">
        <v>46032</v>
      </c>
      <c r="D50" s="11" t="s">
        <v>9</v>
      </c>
      <c r="E50" s="8" t="s">
        <v>43</v>
      </c>
      <c r="F50" s="101" t="s">
        <v>138</v>
      </c>
      <c r="G50" s="100" t="s">
        <v>616</v>
      </c>
      <c r="H50" s="9" t="s">
        <v>17</v>
      </c>
      <c r="I50" s="10">
        <v>6500</v>
      </c>
    </row>
    <row r="51" spans="1:9" ht="15.75" x14ac:dyDescent="0.25">
      <c r="A51" s="4">
        <v>49</v>
      </c>
      <c r="B51" s="5" t="s">
        <v>139</v>
      </c>
      <c r="C51" s="6">
        <v>46032</v>
      </c>
      <c r="D51" s="11" t="s">
        <v>9</v>
      </c>
      <c r="E51" s="8" t="s">
        <v>43</v>
      </c>
      <c r="F51" s="101" t="s">
        <v>138</v>
      </c>
      <c r="G51" s="100" t="s">
        <v>616</v>
      </c>
      <c r="H51" s="9" t="s">
        <v>17</v>
      </c>
      <c r="I51" s="10">
        <v>317500</v>
      </c>
    </row>
    <row r="52" spans="1:9" ht="15.75" x14ac:dyDescent="0.25">
      <c r="A52" s="4">
        <v>50</v>
      </c>
      <c r="B52" s="150" t="s">
        <v>761</v>
      </c>
      <c r="C52" s="6">
        <v>46032</v>
      </c>
      <c r="D52" s="11" t="s">
        <v>15</v>
      </c>
      <c r="E52" s="8" t="s">
        <v>754</v>
      </c>
      <c r="F52" s="101" t="s">
        <v>755</v>
      </c>
      <c r="G52" s="100" t="s">
        <v>616</v>
      </c>
      <c r="H52" s="9" t="s">
        <v>886</v>
      </c>
      <c r="I52" s="10">
        <v>6000000</v>
      </c>
    </row>
    <row r="53" spans="1:9" ht="15.75" x14ac:dyDescent="0.25">
      <c r="A53" s="4">
        <v>51</v>
      </c>
      <c r="B53" s="150" t="s">
        <v>762</v>
      </c>
      <c r="C53" s="6">
        <v>46032</v>
      </c>
      <c r="D53" s="11" t="s">
        <v>15</v>
      </c>
      <c r="E53" s="8" t="s">
        <v>754</v>
      </c>
      <c r="F53" s="101" t="s">
        <v>755</v>
      </c>
      <c r="G53" s="100" t="s">
        <v>616</v>
      </c>
      <c r="H53" s="9" t="s">
        <v>886</v>
      </c>
      <c r="I53" s="10">
        <v>1000000</v>
      </c>
    </row>
    <row r="54" spans="1:9" ht="15.75" x14ac:dyDescent="0.25">
      <c r="A54" s="4">
        <v>52</v>
      </c>
      <c r="B54" s="5" t="s">
        <v>140</v>
      </c>
      <c r="C54" s="6">
        <v>46034</v>
      </c>
      <c r="D54" s="11" t="s">
        <v>587</v>
      </c>
      <c r="E54" s="8" t="s">
        <v>141</v>
      </c>
      <c r="F54" s="100" t="s">
        <v>568</v>
      </c>
      <c r="G54" s="100" t="s">
        <v>616</v>
      </c>
      <c r="H54" s="9"/>
      <c r="I54" s="10">
        <v>500000</v>
      </c>
    </row>
    <row r="55" spans="1:9" ht="15.75" x14ac:dyDescent="0.25">
      <c r="A55" s="4">
        <v>53</v>
      </c>
      <c r="B55" s="5" t="s">
        <v>142</v>
      </c>
      <c r="C55" s="6">
        <v>46034</v>
      </c>
      <c r="D55" s="11" t="s">
        <v>9</v>
      </c>
      <c r="E55" s="8" t="s">
        <v>17</v>
      </c>
      <c r="F55" s="101" t="s">
        <v>125</v>
      </c>
      <c r="G55" s="100" t="s">
        <v>616</v>
      </c>
      <c r="H55" s="9"/>
      <c r="I55" s="10">
        <v>150000</v>
      </c>
    </row>
    <row r="56" spans="1:9" ht="15.75" x14ac:dyDescent="0.25">
      <c r="A56" s="4">
        <v>54</v>
      </c>
      <c r="B56" s="5" t="s">
        <v>143</v>
      </c>
      <c r="C56" s="6">
        <v>46035</v>
      </c>
      <c r="D56" s="11" t="s">
        <v>15</v>
      </c>
      <c r="E56" s="8" t="s">
        <v>144</v>
      </c>
      <c r="F56" s="101" t="s">
        <v>145</v>
      </c>
      <c r="G56" s="100" t="s">
        <v>616</v>
      </c>
      <c r="H56" s="9" t="s">
        <v>886</v>
      </c>
      <c r="I56" s="10">
        <v>15000000</v>
      </c>
    </row>
    <row r="57" spans="1:9" ht="15.75" x14ac:dyDescent="0.25">
      <c r="A57" s="4">
        <v>55</v>
      </c>
      <c r="B57" s="5" t="s">
        <v>146</v>
      </c>
      <c r="C57" s="6">
        <v>46035</v>
      </c>
      <c r="D57" s="11" t="s">
        <v>15</v>
      </c>
      <c r="E57" s="8" t="s">
        <v>147</v>
      </c>
      <c r="F57" s="101" t="s">
        <v>148</v>
      </c>
      <c r="G57" s="100" t="s">
        <v>616</v>
      </c>
      <c r="H57" s="9" t="s">
        <v>886</v>
      </c>
      <c r="I57" s="10">
        <v>15000000</v>
      </c>
    </row>
    <row r="58" spans="1:9" ht="15.75" x14ac:dyDescent="0.25">
      <c r="A58" s="4">
        <v>56</v>
      </c>
      <c r="B58" s="5" t="s">
        <v>149</v>
      </c>
      <c r="C58" s="6">
        <v>46035</v>
      </c>
      <c r="D58" s="11" t="s">
        <v>9</v>
      </c>
      <c r="E58" s="8" t="s">
        <v>17</v>
      </c>
      <c r="F58" s="101" t="s">
        <v>150</v>
      </c>
      <c r="G58" s="100" t="s">
        <v>616</v>
      </c>
      <c r="H58" s="9"/>
      <c r="I58" s="10">
        <v>200000</v>
      </c>
    </row>
    <row r="59" spans="1:9" ht="15.75" x14ac:dyDescent="0.25">
      <c r="A59" s="4">
        <v>57</v>
      </c>
      <c r="B59" s="5" t="s">
        <v>151</v>
      </c>
      <c r="C59" s="6">
        <v>46035</v>
      </c>
      <c r="D59" s="11" t="s">
        <v>9</v>
      </c>
      <c r="E59" s="8" t="s">
        <v>152</v>
      </c>
      <c r="F59" s="101" t="s">
        <v>153</v>
      </c>
      <c r="G59" s="100" t="s">
        <v>616</v>
      </c>
      <c r="H59" s="9"/>
      <c r="I59" s="10">
        <v>1500000</v>
      </c>
    </row>
    <row r="60" spans="1:9" ht="15.75" x14ac:dyDescent="0.25">
      <c r="A60" s="4">
        <v>58</v>
      </c>
      <c r="B60" s="5" t="s">
        <v>154</v>
      </c>
      <c r="C60" s="6">
        <v>46035</v>
      </c>
      <c r="D60" s="11" t="s">
        <v>9</v>
      </c>
      <c r="E60" s="8" t="s">
        <v>152</v>
      </c>
      <c r="F60" s="101" t="s">
        <v>155</v>
      </c>
      <c r="G60" s="100" t="s">
        <v>616</v>
      </c>
      <c r="H60" s="9"/>
      <c r="I60" s="10">
        <v>500000</v>
      </c>
    </row>
    <row r="61" spans="1:9" ht="15.75" x14ac:dyDescent="0.25">
      <c r="A61" s="4">
        <v>59</v>
      </c>
      <c r="B61" s="5" t="s">
        <v>156</v>
      </c>
      <c r="C61" s="6">
        <v>46035</v>
      </c>
      <c r="D61" s="11" t="s">
        <v>587</v>
      </c>
      <c r="E61" s="8" t="s">
        <v>157</v>
      </c>
      <c r="F61" s="100" t="s">
        <v>568</v>
      </c>
      <c r="G61" s="100" t="s">
        <v>616</v>
      </c>
      <c r="H61" s="9"/>
      <c r="I61" s="10">
        <v>700000</v>
      </c>
    </row>
    <row r="62" spans="1:9" ht="15.75" x14ac:dyDescent="0.25">
      <c r="A62" s="4">
        <v>60</v>
      </c>
      <c r="B62" s="5" t="s">
        <v>158</v>
      </c>
      <c r="C62" s="6">
        <v>46035</v>
      </c>
      <c r="D62" s="11" t="s">
        <v>587</v>
      </c>
      <c r="E62" s="8" t="s">
        <v>159</v>
      </c>
      <c r="F62" s="100" t="s">
        <v>568</v>
      </c>
      <c r="G62" s="100" t="s">
        <v>616</v>
      </c>
      <c r="H62" s="9"/>
      <c r="I62" s="10">
        <v>750000</v>
      </c>
    </row>
    <row r="63" spans="1:9" ht="15.75" x14ac:dyDescent="0.25">
      <c r="A63" s="4">
        <v>61</v>
      </c>
      <c r="B63" s="5" t="s">
        <v>160</v>
      </c>
      <c r="C63" s="6">
        <v>46035</v>
      </c>
      <c r="D63" s="11" t="s">
        <v>587</v>
      </c>
      <c r="E63" s="8" t="s">
        <v>161</v>
      </c>
      <c r="F63" s="100" t="s">
        <v>568</v>
      </c>
      <c r="G63" s="100" t="s">
        <v>616</v>
      </c>
      <c r="H63" s="9"/>
      <c r="I63" s="10">
        <v>600000</v>
      </c>
    </row>
    <row r="64" spans="1:9" ht="15.75" x14ac:dyDescent="0.25">
      <c r="A64" s="4">
        <v>62</v>
      </c>
      <c r="B64" s="5" t="s">
        <v>162</v>
      </c>
      <c r="C64" s="6">
        <v>46035</v>
      </c>
      <c r="D64" s="11" t="s">
        <v>21</v>
      </c>
      <c r="E64" s="8" t="s">
        <v>1400</v>
      </c>
      <c r="F64" s="101" t="s">
        <v>163</v>
      </c>
      <c r="G64" s="100" t="s">
        <v>616</v>
      </c>
      <c r="H64" s="9"/>
      <c r="I64" s="10">
        <v>80000</v>
      </c>
    </row>
    <row r="65" spans="1:9" ht="15.75" x14ac:dyDescent="0.25">
      <c r="A65" s="4">
        <v>63</v>
      </c>
      <c r="B65" s="5" t="s">
        <v>164</v>
      </c>
      <c r="C65" s="6">
        <v>46040</v>
      </c>
      <c r="D65" s="11" t="s">
        <v>15</v>
      </c>
      <c r="E65" s="8" t="s">
        <v>97</v>
      </c>
      <c r="F65" s="101" t="s">
        <v>165</v>
      </c>
      <c r="G65" s="100" t="s">
        <v>616</v>
      </c>
      <c r="H65" s="9" t="s">
        <v>886</v>
      </c>
      <c r="I65" s="10">
        <v>5000000</v>
      </c>
    </row>
    <row r="66" spans="1:9" ht="15.75" x14ac:dyDescent="0.25">
      <c r="A66" s="4">
        <v>64</v>
      </c>
      <c r="B66" s="5" t="s">
        <v>166</v>
      </c>
      <c r="C66" s="6">
        <v>46040</v>
      </c>
      <c r="D66" s="11" t="s">
        <v>23</v>
      </c>
      <c r="E66" s="8" t="s">
        <v>167</v>
      </c>
      <c r="F66" s="101" t="s">
        <v>168</v>
      </c>
      <c r="G66" s="100" t="s">
        <v>616</v>
      </c>
      <c r="H66" s="9"/>
      <c r="I66" s="10">
        <v>5000000</v>
      </c>
    </row>
    <row r="67" spans="1:9" ht="15.75" x14ac:dyDescent="0.25">
      <c r="A67" s="4">
        <v>65</v>
      </c>
      <c r="B67" s="5" t="s">
        <v>169</v>
      </c>
      <c r="C67" s="6">
        <v>46040</v>
      </c>
      <c r="D67" s="11" t="s">
        <v>23</v>
      </c>
      <c r="E67" s="8" t="s">
        <v>105</v>
      </c>
      <c r="F67" s="101" t="s">
        <v>136</v>
      </c>
      <c r="G67" s="100" t="s">
        <v>616</v>
      </c>
      <c r="H67" s="9"/>
      <c r="I67" s="10">
        <v>12000000</v>
      </c>
    </row>
    <row r="68" spans="1:9" ht="15.75" x14ac:dyDescent="0.25">
      <c r="A68" s="4">
        <v>66</v>
      </c>
      <c r="B68" s="5" t="s">
        <v>170</v>
      </c>
      <c r="C68" s="6">
        <v>46040</v>
      </c>
      <c r="D68" s="11" t="s">
        <v>9</v>
      </c>
      <c r="E68" s="8" t="s">
        <v>171</v>
      </c>
      <c r="F68" s="101" t="s">
        <v>172</v>
      </c>
      <c r="G68" s="100" t="s">
        <v>616</v>
      </c>
      <c r="H68" s="9"/>
      <c r="I68" s="10">
        <v>1470000</v>
      </c>
    </row>
    <row r="69" spans="1:9" ht="15.75" x14ac:dyDescent="0.25">
      <c r="A69" s="4">
        <v>67</v>
      </c>
      <c r="B69" s="5" t="s">
        <v>173</v>
      </c>
      <c r="C69" s="6">
        <v>46040</v>
      </c>
      <c r="D69" s="11" t="s">
        <v>9</v>
      </c>
      <c r="E69" s="8" t="s">
        <v>171</v>
      </c>
      <c r="F69" s="101" t="s">
        <v>174</v>
      </c>
      <c r="G69" s="100" t="s">
        <v>616</v>
      </c>
      <c r="H69" s="9"/>
      <c r="I69" s="10">
        <v>4600000</v>
      </c>
    </row>
    <row r="70" spans="1:9" ht="15.75" x14ac:dyDescent="0.25">
      <c r="A70" s="4">
        <v>68</v>
      </c>
      <c r="B70" s="5" t="s">
        <v>175</v>
      </c>
      <c r="C70" s="6">
        <v>46040</v>
      </c>
      <c r="D70" s="11" t="s">
        <v>9</v>
      </c>
      <c r="E70" s="8" t="s">
        <v>176</v>
      </c>
      <c r="F70" s="101" t="s">
        <v>177</v>
      </c>
      <c r="G70" s="100" t="s">
        <v>616</v>
      </c>
      <c r="H70" s="9"/>
      <c r="I70" s="10">
        <v>2500000</v>
      </c>
    </row>
    <row r="71" spans="1:9" ht="15.75" x14ac:dyDescent="0.25">
      <c r="A71" s="4">
        <v>69</v>
      </c>
      <c r="B71" s="5" t="s">
        <v>178</v>
      </c>
      <c r="C71" s="6">
        <v>46040</v>
      </c>
      <c r="D71" s="11" t="s">
        <v>9</v>
      </c>
      <c r="E71" s="8" t="s">
        <v>176</v>
      </c>
      <c r="F71" s="101" t="s">
        <v>179</v>
      </c>
      <c r="G71" s="100" t="s">
        <v>616</v>
      </c>
      <c r="H71" s="9"/>
      <c r="I71" s="10">
        <v>800000</v>
      </c>
    </row>
    <row r="72" spans="1:9" ht="15.75" x14ac:dyDescent="0.25">
      <c r="A72" s="4">
        <v>70</v>
      </c>
      <c r="B72" s="5" t="s">
        <v>180</v>
      </c>
      <c r="C72" s="6">
        <v>46040</v>
      </c>
      <c r="D72" s="11" t="s">
        <v>15</v>
      </c>
      <c r="E72" s="8" t="s">
        <v>181</v>
      </c>
      <c r="F72" s="101" t="s">
        <v>182</v>
      </c>
      <c r="G72" s="100" t="s">
        <v>616</v>
      </c>
      <c r="H72" s="9" t="s">
        <v>886</v>
      </c>
      <c r="I72" s="10">
        <v>8000000</v>
      </c>
    </row>
    <row r="73" spans="1:9" ht="15.75" x14ac:dyDescent="0.25">
      <c r="A73" s="4">
        <v>71</v>
      </c>
      <c r="B73" s="5" t="s">
        <v>183</v>
      </c>
      <c r="C73" s="6">
        <v>46040</v>
      </c>
      <c r="D73" s="11" t="s">
        <v>9</v>
      </c>
      <c r="E73" s="8" t="s">
        <v>184</v>
      </c>
      <c r="F73" s="101" t="s">
        <v>128</v>
      </c>
      <c r="G73" s="100" t="s">
        <v>616</v>
      </c>
      <c r="H73" s="9"/>
      <c r="I73" s="10">
        <v>2000000</v>
      </c>
    </row>
    <row r="74" spans="1:9" ht="15.75" x14ac:dyDescent="0.25">
      <c r="A74" s="4">
        <v>72</v>
      </c>
      <c r="B74" s="5" t="s">
        <v>185</v>
      </c>
      <c r="C74" s="6">
        <v>46040</v>
      </c>
      <c r="D74" s="11" t="s">
        <v>9</v>
      </c>
      <c r="E74" s="8" t="s">
        <v>13</v>
      </c>
      <c r="F74" s="101" t="s">
        <v>186</v>
      </c>
      <c r="G74" s="100" t="s">
        <v>616</v>
      </c>
      <c r="H74" s="9"/>
      <c r="I74" s="10">
        <v>2025000</v>
      </c>
    </row>
    <row r="75" spans="1:9" ht="15.75" x14ac:dyDescent="0.25">
      <c r="A75" s="4">
        <v>73</v>
      </c>
      <c r="B75" s="5" t="s">
        <v>187</v>
      </c>
      <c r="C75" s="6">
        <v>46040</v>
      </c>
      <c r="D75" s="11" t="s">
        <v>23</v>
      </c>
      <c r="E75" s="8" t="s">
        <v>167</v>
      </c>
      <c r="F75" s="101" t="s">
        <v>168</v>
      </c>
      <c r="G75" s="100" t="s">
        <v>616</v>
      </c>
      <c r="H75" s="9"/>
      <c r="I75" s="10">
        <v>325000</v>
      </c>
    </row>
    <row r="76" spans="1:9" ht="15.75" x14ac:dyDescent="0.25">
      <c r="A76" s="4">
        <v>74</v>
      </c>
      <c r="B76" s="5" t="s">
        <v>188</v>
      </c>
      <c r="C76" s="6">
        <v>46040</v>
      </c>
      <c r="D76" s="11" t="s">
        <v>9</v>
      </c>
      <c r="E76" s="8" t="s">
        <v>83</v>
      </c>
      <c r="F76" s="101" t="s">
        <v>84</v>
      </c>
      <c r="G76" s="100" t="s">
        <v>616</v>
      </c>
      <c r="H76" s="9"/>
      <c r="I76" s="10">
        <v>2000000</v>
      </c>
    </row>
    <row r="77" spans="1:9" ht="15.75" x14ac:dyDescent="0.25">
      <c r="A77" s="4">
        <v>75</v>
      </c>
      <c r="B77" s="5" t="s">
        <v>189</v>
      </c>
      <c r="C77" s="6">
        <v>46040</v>
      </c>
      <c r="D77" s="11" t="s">
        <v>9</v>
      </c>
      <c r="E77" s="8" t="s">
        <v>595</v>
      </c>
      <c r="F77" s="101" t="s">
        <v>190</v>
      </c>
      <c r="G77" s="100" t="s">
        <v>616</v>
      </c>
      <c r="H77" s="9"/>
      <c r="I77" s="10">
        <v>1250000</v>
      </c>
    </row>
    <row r="78" spans="1:9" ht="15.75" x14ac:dyDescent="0.25">
      <c r="A78" s="4">
        <v>76</v>
      </c>
      <c r="B78" s="5" t="s">
        <v>191</v>
      </c>
      <c r="C78" s="6">
        <v>46040</v>
      </c>
      <c r="D78" s="11" t="s">
        <v>9</v>
      </c>
      <c r="E78" s="8" t="s">
        <v>192</v>
      </c>
      <c r="F78" s="101" t="s">
        <v>193</v>
      </c>
      <c r="G78" s="100" t="s">
        <v>616</v>
      </c>
      <c r="H78" s="9"/>
      <c r="I78" s="10">
        <v>520000</v>
      </c>
    </row>
    <row r="79" spans="1:9" ht="15.75" x14ac:dyDescent="0.25">
      <c r="A79" s="4">
        <v>77</v>
      </c>
      <c r="B79" s="5" t="s">
        <v>194</v>
      </c>
      <c r="C79" s="6">
        <v>46040</v>
      </c>
      <c r="D79" s="11" t="s">
        <v>9</v>
      </c>
      <c r="E79" s="8" t="s">
        <v>97</v>
      </c>
      <c r="F79" s="101" t="s">
        <v>9</v>
      </c>
      <c r="G79" s="100" t="s">
        <v>616</v>
      </c>
      <c r="H79" s="9"/>
      <c r="I79" s="10">
        <v>651000</v>
      </c>
    </row>
    <row r="80" spans="1:9" ht="15.75" x14ac:dyDescent="0.25">
      <c r="A80" s="4">
        <v>78</v>
      </c>
      <c r="B80" s="5" t="s">
        <v>195</v>
      </c>
      <c r="C80" s="6">
        <v>46040</v>
      </c>
      <c r="D80" s="11" t="s">
        <v>9</v>
      </c>
      <c r="E80" s="8" t="s">
        <v>196</v>
      </c>
      <c r="F80" s="101" t="s">
        <v>197</v>
      </c>
      <c r="G80" s="100" t="s">
        <v>616</v>
      </c>
      <c r="H80" s="9" t="s">
        <v>17</v>
      </c>
      <c r="I80" s="10">
        <v>257000</v>
      </c>
    </row>
    <row r="81" spans="1:9" ht="15.75" x14ac:dyDescent="0.25">
      <c r="A81" s="4">
        <v>79</v>
      </c>
      <c r="B81" s="5" t="s">
        <v>198</v>
      </c>
      <c r="C81" s="6">
        <v>46041</v>
      </c>
      <c r="D81" s="11" t="s">
        <v>15</v>
      </c>
      <c r="E81" s="13" t="s">
        <v>199</v>
      </c>
      <c r="F81" s="101" t="s">
        <v>200</v>
      </c>
      <c r="G81" s="100" t="s">
        <v>616</v>
      </c>
      <c r="H81" s="9" t="s">
        <v>886</v>
      </c>
      <c r="I81" s="10">
        <v>3000000</v>
      </c>
    </row>
    <row r="82" spans="1:9" ht="15.75" x14ac:dyDescent="0.25">
      <c r="A82" s="4">
        <v>80</v>
      </c>
      <c r="B82" s="5" t="s">
        <v>201</v>
      </c>
      <c r="C82" s="6">
        <v>46041</v>
      </c>
      <c r="D82" s="11" t="s">
        <v>9</v>
      </c>
      <c r="E82" s="8" t="s">
        <v>1200</v>
      </c>
      <c r="F82" s="101" t="s">
        <v>202</v>
      </c>
      <c r="G82" s="100" t="s">
        <v>616</v>
      </c>
      <c r="H82" s="9"/>
      <c r="I82" s="10">
        <v>500000</v>
      </c>
    </row>
    <row r="83" spans="1:9" ht="15.75" x14ac:dyDescent="0.25">
      <c r="A83" s="4">
        <v>81</v>
      </c>
      <c r="B83" s="5" t="s">
        <v>203</v>
      </c>
      <c r="C83" s="6">
        <v>46041</v>
      </c>
      <c r="D83" s="11" t="s">
        <v>9</v>
      </c>
      <c r="E83" s="8" t="s">
        <v>595</v>
      </c>
      <c r="F83" s="101" t="s">
        <v>204</v>
      </c>
      <c r="G83" s="100" t="s">
        <v>616</v>
      </c>
      <c r="H83" s="9"/>
      <c r="I83" s="10">
        <v>550000</v>
      </c>
    </row>
    <row r="84" spans="1:9" ht="15.75" x14ac:dyDescent="0.25">
      <c r="A84" s="4">
        <v>82</v>
      </c>
      <c r="B84" s="5" t="s">
        <v>205</v>
      </c>
      <c r="C84" s="6">
        <v>46041</v>
      </c>
      <c r="D84" s="11" t="s">
        <v>21</v>
      </c>
      <c r="E84" s="8" t="s">
        <v>59</v>
      </c>
      <c r="F84" s="101" t="s">
        <v>206</v>
      </c>
      <c r="G84" s="100" t="s">
        <v>616</v>
      </c>
      <c r="H84" s="9"/>
      <c r="I84" s="10">
        <v>25000</v>
      </c>
    </row>
    <row r="85" spans="1:9" ht="15.75" x14ac:dyDescent="0.25">
      <c r="A85" s="4">
        <v>83</v>
      </c>
      <c r="B85" s="5" t="s">
        <v>207</v>
      </c>
      <c r="C85" s="6">
        <v>46041</v>
      </c>
      <c r="D85" s="11" t="s">
        <v>21</v>
      </c>
      <c r="E85" s="8" t="s">
        <v>208</v>
      </c>
      <c r="F85" s="101" t="s">
        <v>209</v>
      </c>
      <c r="G85" s="100" t="s">
        <v>616</v>
      </c>
      <c r="H85" s="9"/>
      <c r="I85" s="10">
        <v>100000</v>
      </c>
    </row>
    <row r="86" spans="1:9" ht="15.75" x14ac:dyDescent="0.25">
      <c r="A86" s="4">
        <v>84</v>
      </c>
      <c r="B86" s="5" t="s">
        <v>210</v>
      </c>
      <c r="C86" s="6">
        <v>46041</v>
      </c>
      <c r="D86" s="11" t="s">
        <v>21</v>
      </c>
      <c r="E86" s="8" t="s">
        <v>102</v>
      </c>
      <c r="F86" s="101" t="s">
        <v>21</v>
      </c>
      <c r="G86" s="100" t="s">
        <v>616</v>
      </c>
      <c r="H86" s="9"/>
      <c r="I86" s="10">
        <v>37000</v>
      </c>
    </row>
    <row r="87" spans="1:9" ht="15.75" x14ac:dyDescent="0.25">
      <c r="A87" s="4">
        <v>85</v>
      </c>
      <c r="B87" s="5" t="s">
        <v>211</v>
      </c>
      <c r="C87" s="6">
        <v>46043</v>
      </c>
      <c r="D87" s="11" t="s">
        <v>9</v>
      </c>
      <c r="E87" s="16" t="s">
        <v>17</v>
      </c>
      <c r="F87" s="13" t="s">
        <v>212</v>
      </c>
      <c r="G87" s="100" t="s">
        <v>616</v>
      </c>
      <c r="H87" s="9"/>
      <c r="I87" s="10">
        <v>5000000</v>
      </c>
    </row>
    <row r="88" spans="1:9" ht="15.75" x14ac:dyDescent="0.25">
      <c r="A88" s="4">
        <v>86</v>
      </c>
      <c r="B88" s="5" t="s">
        <v>566</v>
      </c>
      <c r="C88" s="6">
        <v>46044</v>
      </c>
      <c r="D88" s="11" t="s">
        <v>15</v>
      </c>
      <c r="E88" s="16" t="s">
        <v>1003</v>
      </c>
      <c r="F88" s="13" t="s">
        <v>1004</v>
      </c>
      <c r="G88" s="100" t="s">
        <v>616</v>
      </c>
      <c r="H88" s="9" t="s">
        <v>886</v>
      </c>
      <c r="I88" s="10">
        <v>8500000</v>
      </c>
    </row>
    <row r="89" spans="1:9" ht="15.75" x14ac:dyDescent="0.25">
      <c r="A89" s="4">
        <v>87</v>
      </c>
      <c r="B89" s="5" t="s">
        <v>567</v>
      </c>
      <c r="C89" s="6">
        <v>46047</v>
      </c>
      <c r="D89" s="11" t="s">
        <v>587</v>
      </c>
      <c r="E89" s="16" t="s">
        <v>955</v>
      </c>
      <c r="F89" s="13" t="s">
        <v>956</v>
      </c>
      <c r="G89" s="100" t="s">
        <v>616</v>
      </c>
      <c r="H89" s="9"/>
      <c r="I89" s="10">
        <v>300000</v>
      </c>
    </row>
    <row r="90" spans="1:9" ht="15.75" x14ac:dyDescent="0.25">
      <c r="A90" s="4">
        <v>88</v>
      </c>
      <c r="B90" s="5" t="s">
        <v>570</v>
      </c>
      <c r="C90" s="6">
        <v>46048</v>
      </c>
      <c r="D90" s="11" t="s">
        <v>15</v>
      </c>
      <c r="E90" s="16" t="s">
        <v>437</v>
      </c>
      <c r="F90" s="13" t="s">
        <v>571</v>
      </c>
      <c r="G90" s="100" t="s">
        <v>616</v>
      </c>
      <c r="H90" s="9" t="s">
        <v>886</v>
      </c>
      <c r="I90" s="10">
        <v>3000000</v>
      </c>
    </row>
    <row r="91" spans="1:9" ht="15.75" x14ac:dyDescent="0.25">
      <c r="A91" s="4">
        <v>89</v>
      </c>
      <c r="B91" s="5" t="s">
        <v>573</v>
      </c>
      <c r="C91" s="6">
        <v>46049</v>
      </c>
      <c r="D91" s="11" t="s">
        <v>21</v>
      </c>
      <c r="E91" s="16" t="s">
        <v>102</v>
      </c>
      <c r="F91" s="13" t="s">
        <v>103</v>
      </c>
      <c r="G91" s="100" t="s">
        <v>616</v>
      </c>
      <c r="H91" s="9"/>
      <c r="I91" s="10">
        <v>13000</v>
      </c>
    </row>
    <row r="92" spans="1:9" ht="15.75" x14ac:dyDescent="0.25">
      <c r="A92" s="4">
        <v>90</v>
      </c>
      <c r="B92" s="5" t="s">
        <v>574</v>
      </c>
      <c r="C92" s="6">
        <v>46049</v>
      </c>
      <c r="D92" s="11" t="s">
        <v>26</v>
      </c>
      <c r="E92" s="16" t="s">
        <v>578</v>
      </c>
      <c r="F92" s="16" t="s">
        <v>579</v>
      </c>
      <c r="G92" s="100" t="s">
        <v>616</v>
      </c>
      <c r="H92" s="9" t="s">
        <v>886</v>
      </c>
      <c r="I92" s="10">
        <v>2535000</v>
      </c>
    </row>
    <row r="93" spans="1:9" ht="15.75" x14ac:dyDescent="0.25">
      <c r="A93" s="4">
        <v>91</v>
      </c>
      <c r="B93" s="5" t="s">
        <v>575</v>
      </c>
      <c r="C93" s="6">
        <v>46049</v>
      </c>
      <c r="D93" s="11" t="s">
        <v>26</v>
      </c>
      <c r="E93" s="16" t="s">
        <v>578</v>
      </c>
      <c r="F93" s="16" t="s">
        <v>580</v>
      </c>
      <c r="G93" s="100" t="s">
        <v>616</v>
      </c>
      <c r="H93" s="9" t="s">
        <v>886</v>
      </c>
      <c r="I93" s="10">
        <v>5000000</v>
      </c>
    </row>
    <row r="94" spans="1:9" ht="15.75" x14ac:dyDescent="0.25">
      <c r="A94" s="4">
        <v>92</v>
      </c>
      <c r="B94" s="5" t="s">
        <v>576</v>
      </c>
      <c r="C94" s="6">
        <v>46049</v>
      </c>
      <c r="D94" s="11" t="s">
        <v>26</v>
      </c>
      <c r="E94" s="16" t="s">
        <v>578</v>
      </c>
      <c r="F94" s="16" t="s">
        <v>581</v>
      </c>
      <c r="G94" s="100" t="s">
        <v>616</v>
      </c>
      <c r="H94" s="9" t="s">
        <v>886</v>
      </c>
      <c r="I94" s="10">
        <v>300000</v>
      </c>
    </row>
    <row r="95" spans="1:9" ht="15.75" x14ac:dyDescent="0.25">
      <c r="A95" s="4">
        <v>93</v>
      </c>
      <c r="B95" s="5" t="s">
        <v>577</v>
      </c>
      <c r="C95" s="6">
        <v>46049</v>
      </c>
      <c r="D95" s="11" t="s">
        <v>26</v>
      </c>
      <c r="E95" s="16" t="s">
        <v>578</v>
      </c>
      <c r="F95" s="99" t="s">
        <v>582</v>
      </c>
      <c r="G95" s="100" t="s">
        <v>616</v>
      </c>
      <c r="H95" s="9" t="s">
        <v>1420</v>
      </c>
      <c r="I95" s="10">
        <v>15000000</v>
      </c>
    </row>
    <row r="96" spans="1:9" ht="15.75" x14ac:dyDescent="0.25">
      <c r="A96" s="4">
        <v>94</v>
      </c>
      <c r="B96" s="5" t="s">
        <v>588</v>
      </c>
      <c r="C96" s="6">
        <v>46049</v>
      </c>
      <c r="D96" s="11" t="s">
        <v>9</v>
      </c>
      <c r="E96" s="16" t="s">
        <v>17</v>
      </c>
      <c r="F96" s="13" t="s">
        <v>583</v>
      </c>
      <c r="G96" s="100" t="s">
        <v>616</v>
      </c>
      <c r="H96" s="9"/>
      <c r="I96" s="10">
        <v>23000</v>
      </c>
    </row>
    <row r="97" spans="1:9" ht="15.75" x14ac:dyDescent="0.25">
      <c r="A97" s="4">
        <v>95</v>
      </c>
      <c r="B97" s="5" t="s">
        <v>589</v>
      </c>
      <c r="C97" s="6">
        <v>46049</v>
      </c>
      <c r="D97" s="11" t="s">
        <v>23</v>
      </c>
      <c r="E97" s="16" t="s">
        <v>167</v>
      </c>
      <c r="F97" s="13" t="s">
        <v>584</v>
      </c>
      <c r="G97" s="100" t="s">
        <v>616</v>
      </c>
      <c r="H97" s="9"/>
      <c r="I97" s="10">
        <v>1857000</v>
      </c>
    </row>
    <row r="98" spans="1:9" ht="15.75" x14ac:dyDescent="0.25">
      <c r="A98" s="4">
        <v>96</v>
      </c>
      <c r="B98" s="5" t="s">
        <v>590</v>
      </c>
      <c r="C98" s="6">
        <v>46050</v>
      </c>
      <c r="D98" s="11" t="s">
        <v>9</v>
      </c>
      <c r="E98" s="16" t="s">
        <v>97</v>
      </c>
      <c r="F98" s="13" t="s">
        <v>569</v>
      </c>
      <c r="G98" s="100" t="s">
        <v>616</v>
      </c>
      <c r="H98" s="9"/>
      <c r="I98" s="10">
        <v>500000</v>
      </c>
    </row>
    <row r="99" spans="1:9" ht="15.75" x14ac:dyDescent="0.25">
      <c r="A99" s="4">
        <v>97</v>
      </c>
      <c r="B99" s="5" t="s">
        <v>591</v>
      </c>
      <c r="C99" s="6">
        <v>46050</v>
      </c>
      <c r="D99" s="11" t="s">
        <v>21</v>
      </c>
      <c r="E99" s="16" t="s">
        <v>62</v>
      </c>
      <c r="F99" s="13" t="s">
        <v>585</v>
      </c>
      <c r="G99" s="100" t="s">
        <v>616</v>
      </c>
      <c r="H99" s="9"/>
      <c r="I99" s="10">
        <v>200000</v>
      </c>
    </row>
    <row r="100" spans="1:9" ht="15.75" x14ac:dyDescent="0.25">
      <c r="A100" s="4">
        <v>98</v>
      </c>
      <c r="B100" s="5" t="s">
        <v>592</v>
      </c>
      <c r="C100" s="6">
        <v>46050</v>
      </c>
      <c r="D100" s="11" t="s">
        <v>9</v>
      </c>
      <c r="E100" s="16" t="s">
        <v>595</v>
      </c>
      <c r="F100" s="101" t="s">
        <v>586</v>
      </c>
      <c r="G100" s="100" t="s">
        <v>616</v>
      </c>
      <c r="H100" s="9"/>
      <c r="I100" s="10">
        <v>900000</v>
      </c>
    </row>
    <row r="101" spans="1:9" ht="15.75" x14ac:dyDescent="0.25">
      <c r="A101" s="4">
        <v>99</v>
      </c>
      <c r="B101" s="5" t="s">
        <v>593</v>
      </c>
      <c r="C101" s="6">
        <v>46050</v>
      </c>
      <c r="D101" s="11" t="s">
        <v>9</v>
      </c>
      <c r="E101" s="16" t="s">
        <v>17</v>
      </c>
      <c r="F101" s="13" t="s">
        <v>594</v>
      </c>
      <c r="G101" s="100" t="s">
        <v>616</v>
      </c>
      <c r="H101" s="9"/>
      <c r="I101" s="10">
        <v>345000</v>
      </c>
    </row>
    <row r="102" spans="1:9" ht="15.75" x14ac:dyDescent="0.25">
      <c r="A102" s="4">
        <v>100</v>
      </c>
      <c r="B102" s="5" t="s">
        <v>597</v>
      </c>
      <c r="C102" s="6">
        <v>46050</v>
      </c>
      <c r="D102" s="11" t="s">
        <v>9</v>
      </c>
      <c r="E102" s="8" t="s">
        <v>595</v>
      </c>
      <c r="F102" s="101" t="s">
        <v>596</v>
      </c>
      <c r="G102" s="100" t="s">
        <v>616</v>
      </c>
      <c r="H102" s="9"/>
      <c r="I102" s="10">
        <v>450000</v>
      </c>
    </row>
    <row r="103" spans="1:9" ht="15.75" x14ac:dyDescent="0.25">
      <c r="A103" s="4">
        <v>101</v>
      </c>
      <c r="B103" s="5" t="s">
        <v>598</v>
      </c>
      <c r="C103" s="6">
        <v>46051</v>
      </c>
      <c r="D103" s="11" t="s">
        <v>26</v>
      </c>
      <c r="E103" s="16" t="s">
        <v>578</v>
      </c>
      <c r="F103" s="103" t="s">
        <v>599</v>
      </c>
      <c r="G103" s="100" t="s">
        <v>616</v>
      </c>
      <c r="H103" s="9" t="s">
        <v>886</v>
      </c>
      <c r="I103" s="10">
        <v>20000000</v>
      </c>
    </row>
    <row r="104" spans="1:9" ht="15.75" x14ac:dyDescent="0.25">
      <c r="A104" s="4">
        <v>102</v>
      </c>
      <c r="B104" s="5" t="s">
        <v>602</v>
      </c>
      <c r="C104" s="6">
        <v>46051</v>
      </c>
      <c r="D104" s="11" t="s">
        <v>15</v>
      </c>
      <c r="E104" s="16" t="s">
        <v>600</v>
      </c>
      <c r="F104" s="13" t="s">
        <v>605</v>
      </c>
      <c r="G104" s="100" t="s">
        <v>616</v>
      </c>
      <c r="H104" s="108" t="s">
        <v>626</v>
      </c>
      <c r="I104" s="10">
        <v>7000000</v>
      </c>
    </row>
    <row r="105" spans="1:9" ht="15.75" x14ac:dyDescent="0.25">
      <c r="A105" s="4">
        <v>103</v>
      </c>
      <c r="B105" s="5" t="s">
        <v>603</v>
      </c>
      <c r="C105" s="6">
        <v>46051</v>
      </c>
      <c r="D105" s="11" t="s">
        <v>15</v>
      </c>
      <c r="E105" s="16" t="s">
        <v>600</v>
      </c>
      <c r="F105" s="13" t="s">
        <v>605</v>
      </c>
      <c r="G105" s="100" t="s">
        <v>616</v>
      </c>
      <c r="H105" s="108" t="s">
        <v>626</v>
      </c>
      <c r="I105" s="10">
        <v>6000000</v>
      </c>
    </row>
    <row r="106" spans="1:9" ht="15.75" x14ac:dyDescent="0.25">
      <c r="A106" s="4">
        <v>104</v>
      </c>
      <c r="B106" s="5" t="s">
        <v>604</v>
      </c>
      <c r="C106" s="6">
        <v>46051</v>
      </c>
      <c r="D106" s="11" t="s">
        <v>15</v>
      </c>
      <c r="E106" s="16" t="s">
        <v>601</v>
      </c>
      <c r="F106" s="13" t="s">
        <v>606</v>
      </c>
      <c r="G106" s="100" t="s">
        <v>616</v>
      </c>
      <c r="H106" s="108" t="s">
        <v>626</v>
      </c>
      <c r="I106" s="10">
        <v>7000000</v>
      </c>
    </row>
    <row r="107" spans="1:9" ht="15.75" x14ac:dyDescent="0.25">
      <c r="A107" s="4">
        <v>105</v>
      </c>
      <c r="B107" s="5" t="s">
        <v>608</v>
      </c>
      <c r="C107" s="6">
        <v>46051</v>
      </c>
      <c r="D107" s="11" t="s">
        <v>9</v>
      </c>
      <c r="E107" s="16" t="s">
        <v>607</v>
      </c>
      <c r="F107" s="13" t="s">
        <v>609</v>
      </c>
      <c r="G107" s="100" t="s">
        <v>616</v>
      </c>
      <c r="H107" s="9"/>
      <c r="I107" s="10">
        <v>2220000</v>
      </c>
    </row>
    <row r="108" spans="1:9" ht="15.75" x14ac:dyDescent="0.25">
      <c r="A108" s="4">
        <v>106</v>
      </c>
      <c r="B108" s="5" t="s">
        <v>611</v>
      </c>
      <c r="C108" s="6">
        <v>46051</v>
      </c>
      <c r="D108" s="11" t="s">
        <v>15</v>
      </c>
      <c r="E108" s="16" t="s">
        <v>612</v>
      </c>
      <c r="F108" s="13" t="s">
        <v>613</v>
      </c>
      <c r="G108" s="100" t="s">
        <v>616</v>
      </c>
      <c r="H108" s="105" t="s">
        <v>614</v>
      </c>
      <c r="I108" s="10">
        <v>135000000</v>
      </c>
    </row>
    <row r="109" spans="1:9" ht="15.75" x14ac:dyDescent="0.25">
      <c r="A109" s="4">
        <v>107</v>
      </c>
      <c r="B109" s="5" t="s">
        <v>617</v>
      </c>
      <c r="C109" s="6">
        <v>46051</v>
      </c>
      <c r="D109" s="11" t="s">
        <v>9</v>
      </c>
      <c r="E109" s="16" t="s">
        <v>184</v>
      </c>
      <c r="F109" s="13" t="s">
        <v>128</v>
      </c>
      <c r="G109" s="100" t="s">
        <v>616</v>
      </c>
      <c r="H109" s="9"/>
      <c r="I109" s="10">
        <v>9000000</v>
      </c>
    </row>
    <row r="110" spans="1:9" ht="15.75" x14ac:dyDescent="0.25">
      <c r="A110" s="4">
        <v>108</v>
      </c>
      <c r="B110" s="5" t="s">
        <v>635</v>
      </c>
      <c r="C110" s="6">
        <v>46054</v>
      </c>
      <c r="D110" s="11" t="s">
        <v>9</v>
      </c>
      <c r="E110" s="16" t="s">
        <v>631</v>
      </c>
      <c r="F110" s="13" t="s">
        <v>632</v>
      </c>
      <c r="G110" s="147">
        <v>2</v>
      </c>
      <c r="H110" s="9"/>
      <c r="I110" s="10">
        <v>450000</v>
      </c>
    </row>
    <row r="111" spans="1:9" ht="15.75" x14ac:dyDescent="0.25">
      <c r="A111" s="4">
        <v>109</v>
      </c>
      <c r="B111" s="5" t="s">
        <v>637</v>
      </c>
      <c r="C111" s="6">
        <v>46054</v>
      </c>
      <c r="D111" s="11" t="s">
        <v>15</v>
      </c>
      <c r="E111" s="16" t="s">
        <v>358</v>
      </c>
      <c r="F111" s="13" t="s">
        <v>630</v>
      </c>
      <c r="G111" s="147">
        <v>2</v>
      </c>
      <c r="H111" s="9" t="s">
        <v>886</v>
      </c>
      <c r="I111" s="10">
        <v>4000000</v>
      </c>
    </row>
    <row r="112" spans="1:9" ht="15.75" x14ac:dyDescent="0.25">
      <c r="A112" s="4">
        <v>110</v>
      </c>
      <c r="B112" s="5" t="s">
        <v>636</v>
      </c>
      <c r="C112" s="6">
        <v>46054</v>
      </c>
      <c r="D112" s="11" t="s">
        <v>9</v>
      </c>
      <c r="E112" s="16" t="s">
        <v>97</v>
      </c>
      <c r="F112" s="13" t="s">
        <v>569</v>
      </c>
      <c r="G112" s="147">
        <v>2</v>
      </c>
      <c r="H112" s="9"/>
      <c r="I112" s="10">
        <v>100000</v>
      </c>
    </row>
    <row r="113" spans="1:9" ht="15.75" x14ac:dyDescent="0.25">
      <c r="A113" s="4">
        <v>111</v>
      </c>
      <c r="B113" s="5" t="s">
        <v>638</v>
      </c>
      <c r="C113" s="6">
        <v>46054</v>
      </c>
      <c r="D113" s="11" t="s">
        <v>9</v>
      </c>
      <c r="E113" s="16" t="s">
        <v>114</v>
      </c>
      <c r="F113" s="13" t="s">
        <v>639</v>
      </c>
      <c r="G113" s="147">
        <v>2</v>
      </c>
      <c r="H113" s="9"/>
      <c r="I113" s="10">
        <v>1300000</v>
      </c>
    </row>
    <row r="114" spans="1:9" ht="15.75" x14ac:dyDescent="0.25">
      <c r="A114" s="4">
        <v>112</v>
      </c>
      <c r="B114" s="5" t="s">
        <v>640</v>
      </c>
      <c r="C114" s="6">
        <v>46055</v>
      </c>
      <c r="D114" s="11" t="s">
        <v>9</v>
      </c>
      <c r="E114" s="16" t="s">
        <v>644</v>
      </c>
      <c r="F114" s="13" t="s">
        <v>646</v>
      </c>
      <c r="G114" s="147">
        <v>2</v>
      </c>
      <c r="H114" s="9"/>
      <c r="I114" s="10">
        <v>200000</v>
      </c>
    </row>
    <row r="115" spans="1:9" ht="15.75" x14ac:dyDescent="0.25">
      <c r="A115" s="4">
        <v>113</v>
      </c>
      <c r="B115" s="5" t="s">
        <v>641</v>
      </c>
      <c r="C115" s="6">
        <v>46055</v>
      </c>
      <c r="D115" s="11" t="s">
        <v>21</v>
      </c>
      <c r="E115" s="16" t="s">
        <v>59</v>
      </c>
      <c r="F115" s="13" t="s">
        <v>206</v>
      </c>
      <c r="G115" s="147">
        <v>2</v>
      </c>
      <c r="H115" s="9"/>
      <c r="I115" s="10">
        <v>25000</v>
      </c>
    </row>
    <row r="116" spans="1:9" ht="15.75" x14ac:dyDescent="0.25">
      <c r="A116" s="4">
        <v>114</v>
      </c>
      <c r="B116" s="5" t="s">
        <v>642</v>
      </c>
      <c r="C116" s="6">
        <v>46055</v>
      </c>
      <c r="D116" s="11" t="s">
        <v>9</v>
      </c>
      <c r="E116" s="16" t="s">
        <v>1200</v>
      </c>
      <c r="F116" s="13" t="s">
        <v>645</v>
      </c>
      <c r="G116" s="147">
        <v>2</v>
      </c>
      <c r="H116" s="9"/>
      <c r="I116" s="10">
        <v>500000</v>
      </c>
    </row>
    <row r="117" spans="1:9" ht="15.75" x14ac:dyDescent="0.25">
      <c r="A117" s="4">
        <v>115</v>
      </c>
      <c r="B117" s="5" t="s">
        <v>643</v>
      </c>
      <c r="C117" s="6">
        <v>46055</v>
      </c>
      <c r="D117" s="11" t="s">
        <v>15</v>
      </c>
      <c r="E117" s="16" t="s">
        <v>437</v>
      </c>
      <c r="F117" s="13" t="s">
        <v>571</v>
      </c>
      <c r="G117" s="147">
        <v>2</v>
      </c>
      <c r="H117" s="9" t="s">
        <v>886</v>
      </c>
      <c r="I117" s="10">
        <v>5000000</v>
      </c>
    </row>
    <row r="118" spans="1:9" ht="15.75" x14ac:dyDescent="0.25">
      <c r="A118" s="4">
        <v>116</v>
      </c>
      <c r="B118" s="5" t="s">
        <v>657</v>
      </c>
      <c r="C118" s="6">
        <v>46055</v>
      </c>
      <c r="D118" s="11" t="s">
        <v>15</v>
      </c>
      <c r="E118" s="16" t="s">
        <v>395</v>
      </c>
      <c r="F118" s="13" t="s">
        <v>658</v>
      </c>
      <c r="G118" s="147">
        <v>2</v>
      </c>
      <c r="H118" s="9" t="s">
        <v>886</v>
      </c>
      <c r="I118" s="10">
        <v>54000000</v>
      </c>
    </row>
    <row r="119" spans="1:9" ht="15.75" x14ac:dyDescent="0.25">
      <c r="A119" s="4">
        <v>117</v>
      </c>
      <c r="B119" s="5" t="s">
        <v>649</v>
      </c>
      <c r="C119" s="6">
        <v>46055</v>
      </c>
      <c r="D119" s="11" t="s">
        <v>23</v>
      </c>
      <c r="E119" s="16" t="s">
        <v>578</v>
      </c>
      <c r="F119" s="13" t="s">
        <v>656</v>
      </c>
      <c r="G119" s="147">
        <v>2</v>
      </c>
      <c r="H119" s="9"/>
      <c r="I119" s="10">
        <v>5000000</v>
      </c>
    </row>
    <row r="120" spans="1:9" ht="15.75" x14ac:dyDescent="0.25">
      <c r="A120" s="4">
        <v>118</v>
      </c>
      <c r="B120" s="5" t="s">
        <v>650</v>
      </c>
      <c r="C120" s="6">
        <v>46055</v>
      </c>
      <c r="D120" s="11" t="s">
        <v>9</v>
      </c>
      <c r="E120" s="16" t="s">
        <v>97</v>
      </c>
      <c r="F120" s="13" t="s">
        <v>653</v>
      </c>
      <c r="G120" s="147">
        <v>2</v>
      </c>
      <c r="H120" s="9"/>
      <c r="I120" s="10">
        <v>246000</v>
      </c>
    </row>
    <row r="121" spans="1:9" ht="15.75" x14ac:dyDescent="0.25">
      <c r="A121" s="4">
        <v>119</v>
      </c>
      <c r="B121" s="5" t="s">
        <v>651</v>
      </c>
      <c r="C121" s="6">
        <v>46055</v>
      </c>
      <c r="D121" s="11" t="s">
        <v>9</v>
      </c>
      <c r="E121" s="16" t="s">
        <v>97</v>
      </c>
      <c r="F121" s="13" t="s">
        <v>654</v>
      </c>
      <c r="G121" s="147">
        <v>2</v>
      </c>
      <c r="H121" s="9"/>
      <c r="I121" s="10">
        <v>273000</v>
      </c>
    </row>
    <row r="122" spans="1:9" ht="15.75" x14ac:dyDescent="0.25">
      <c r="A122" s="4">
        <v>120</v>
      </c>
      <c r="B122" s="5" t="s">
        <v>652</v>
      </c>
      <c r="C122" s="6">
        <v>46055</v>
      </c>
      <c r="D122" s="11" t="s">
        <v>9</v>
      </c>
      <c r="E122" s="16" t="s">
        <v>17</v>
      </c>
      <c r="F122" s="13" t="s">
        <v>655</v>
      </c>
      <c r="G122" s="147">
        <v>2</v>
      </c>
      <c r="H122" s="9"/>
      <c r="I122" s="10">
        <v>1000000</v>
      </c>
    </row>
    <row r="123" spans="1:9" ht="15.75" x14ac:dyDescent="0.25">
      <c r="A123" s="4">
        <v>121</v>
      </c>
      <c r="B123" s="5" t="s">
        <v>662</v>
      </c>
      <c r="C123" s="6">
        <v>46056</v>
      </c>
      <c r="D123" s="11" t="s">
        <v>9</v>
      </c>
      <c r="E123" s="16" t="s">
        <v>86</v>
      </c>
      <c r="F123" s="13" t="s">
        <v>667</v>
      </c>
      <c r="G123" s="147">
        <v>2</v>
      </c>
      <c r="H123" s="9"/>
      <c r="I123" s="10">
        <v>275000</v>
      </c>
    </row>
    <row r="124" spans="1:9" ht="15.75" x14ac:dyDescent="0.25">
      <c r="A124" s="4">
        <v>122</v>
      </c>
      <c r="B124" s="5" t="s">
        <v>663</v>
      </c>
      <c r="C124" s="6">
        <v>46056</v>
      </c>
      <c r="D124" s="11" t="s">
        <v>21</v>
      </c>
      <c r="E124" s="16" t="s">
        <v>668</v>
      </c>
      <c r="F124" s="13" t="s">
        <v>669</v>
      </c>
      <c r="G124" s="147">
        <v>2</v>
      </c>
      <c r="H124" s="9"/>
      <c r="I124" s="10">
        <v>70000</v>
      </c>
    </row>
    <row r="125" spans="1:9" ht="15.75" x14ac:dyDescent="0.25">
      <c r="A125" s="4">
        <v>123</v>
      </c>
      <c r="B125" s="5" t="s">
        <v>664</v>
      </c>
      <c r="C125" s="6">
        <v>46056</v>
      </c>
      <c r="D125" s="11" t="s">
        <v>9</v>
      </c>
      <c r="E125" s="16" t="s">
        <v>97</v>
      </c>
      <c r="F125" s="13" t="s">
        <v>670</v>
      </c>
      <c r="G125" s="147">
        <v>2</v>
      </c>
      <c r="H125" s="9"/>
      <c r="I125" s="10">
        <v>100000</v>
      </c>
    </row>
    <row r="126" spans="1:9" ht="15.75" x14ac:dyDescent="0.25">
      <c r="A126" s="4">
        <v>124</v>
      </c>
      <c r="B126" s="5" t="s">
        <v>665</v>
      </c>
      <c r="C126" s="6">
        <v>46056</v>
      </c>
      <c r="D126" s="11" t="s">
        <v>9</v>
      </c>
      <c r="E126" s="16" t="s">
        <v>671</v>
      </c>
      <c r="F126" s="13" t="s">
        <v>675</v>
      </c>
      <c r="G126" s="147">
        <v>2</v>
      </c>
      <c r="H126" s="9"/>
      <c r="I126" s="10">
        <v>50000</v>
      </c>
    </row>
    <row r="127" spans="1:9" ht="15.75" x14ac:dyDescent="0.25">
      <c r="A127" s="4">
        <v>125</v>
      </c>
      <c r="B127" s="5" t="s">
        <v>672</v>
      </c>
      <c r="C127" s="6">
        <v>46056</v>
      </c>
      <c r="D127" s="11" t="s">
        <v>21</v>
      </c>
      <c r="E127" s="16" t="s">
        <v>673</v>
      </c>
      <c r="F127" s="13" t="s">
        <v>674</v>
      </c>
      <c r="G127" s="147">
        <v>2</v>
      </c>
      <c r="H127" s="9"/>
      <c r="I127" s="10">
        <v>300000</v>
      </c>
    </row>
    <row r="128" spans="1:9" ht="15.75" x14ac:dyDescent="0.25">
      <c r="A128" s="4">
        <v>126</v>
      </c>
      <c r="B128" s="5" t="s">
        <v>677</v>
      </c>
      <c r="C128" s="6">
        <v>46056</v>
      </c>
      <c r="D128" s="11" t="s">
        <v>9</v>
      </c>
      <c r="E128" s="16" t="s">
        <v>607</v>
      </c>
      <c r="F128" s="13" t="s">
        <v>676</v>
      </c>
      <c r="G128" s="147">
        <v>2</v>
      </c>
      <c r="H128" s="9"/>
      <c r="I128" s="10">
        <v>425000</v>
      </c>
    </row>
    <row r="129" spans="1:9" ht="15.75" x14ac:dyDescent="0.25">
      <c r="A129" s="4">
        <v>127</v>
      </c>
      <c r="B129" s="5" t="s">
        <v>678</v>
      </c>
      <c r="C129" s="6">
        <v>46056</v>
      </c>
      <c r="D129" s="11" t="s">
        <v>23</v>
      </c>
      <c r="E129" s="16" t="s">
        <v>51</v>
      </c>
      <c r="F129" s="13" t="s">
        <v>679</v>
      </c>
      <c r="G129" s="147">
        <v>2</v>
      </c>
      <c r="H129" s="9"/>
      <c r="I129" s="10">
        <v>19250000</v>
      </c>
    </row>
    <row r="130" spans="1:9" ht="15.75" x14ac:dyDescent="0.25">
      <c r="A130" s="4">
        <v>128</v>
      </c>
      <c r="B130" s="5" t="s">
        <v>682</v>
      </c>
      <c r="C130" s="6">
        <v>46057</v>
      </c>
      <c r="D130" s="11" t="s">
        <v>587</v>
      </c>
      <c r="E130" s="16" t="s">
        <v>132</v>
      </c>
      <c r="F130" s="13" t="s">
        <v>874</v>
      </c>
      <c r="G130" s="147">
        <v>2</v>
      </c>
      <c r="H130" s="9"/>
      <c r="I130" s="10">
        <v>2000000</v>
      </c>
    </row>
    <row r="131" spans="1:9" ht="15.75" x14ac:dyDescent="0.25">
      <c r="A131" s="4">
        <v>129</v>
      </c>
      <c r="B131" s="5" t="s">
        <v>683</v>
      </c>
      <c r="C131" s="6">
        <v>46057</v>
      </c>
      <c r="D131" s="11" t="s">
        <v>9</v>
      </c>
      <c r="E131" s="16" t="s">
        <v>688</v>
      </c>
      <c r="F131" s="13" t="s">
        <v>689</v>
      </c>
      <c r="G131" s="147">
        <v>2</v>
      </c>
      <c r="H131" s="9"/>
      <c r="I131" s="10">
        <v>500000</v>
      </c>
    </row>
    <row r="132" spans="1:9" x14ac:dyDescent="0.25">
      <c r="A132" s="4">
        <v>130</v>
      </c>
      <c r="B132" s="5" t="s">
        <v>684</v>
      </c>
      <c r="C132" s="6">
        <v>46057</v>
      </c>
      <c r="D132" s="11" t="s">
        <v>21</v>
      </c>
      <c r="E132" s="8" t="s">
        <v>1400</v>
      </c>
      <c r="F132" s="101" t="s">
        <v>163</v>
      </c>
      <c r="G132" s="147">
        <v>2</v>
      </c>
      <c r="H132" s="9"/>
      <c r="I132" s="10">
        <v>70000</v>
      </c>
    </row>
    <row r="133" spans="1:9" ht="15.75" x14ac:dyDescent="0.25">
      <c r="A133" s="4">
        <v>131</v>
      </c>
      <c r="B133" s="5" t="s">
        <v>685</v>
      </c>
      <c r="C133" s="6">
        <v>46057</v>
      </c>
      <c r="D133" s="11" t="s">
        <v>9</v>
      </c>
      <c r="E133" s="16" t="s">
        <v>692</v>
      </c>
      <c r="F133" s="13" t="s">
        <v>691</v>
      </c>
      <c r="G133" s="147">
        <v>2</v>
      </c>
      <c r="H133" s="9"/>
      <c r="I133" s="10">
        <v>185000</v>
      </c>
    </row>
    <row r="134" spans="1:9" ht="15.75" x14ac:dyDescent="0.25">
      <c r="A134" s="4">
        <v>132</v>
      </c>
      <c r="B134" s="5" t="s">
        <v>686</v>
      </c>
      <c r="C134" s="6">
        <v>46057</v>
      </c>
      <c r="D134" s="11" t="s">
        <v>587</v>
      </c>
      <c r="E134" s="16" t="s">
        <v>213</v>
      </c>
      <c r="F134" s="13" t="s">
        <v>690</v>
      </c>
      <c r="G134" s="147">
        <v>2</v>
      </c>
      <c r="H134" s="9"/>
      <c r="I134" s="10">
        <v>500000</v>
      </c>
    </row>
    <row r="135" spans="1:9" ht="15.75" x14ac:dyDescent="0.25">
      <c r="A135" s="4">
        <v>133</v>
      </c>
      <c r="B135" s="5" t="s">
        <v>687</v>
      </c>
      <c r="C135" s="6">
        <v>46057</v>
      </c>
      <c r="D135" s="11" t="s">
        <v>9</v>
      </c>
      <c r="E135" s="16" t="s">
        <v>17</v>
      </c>
      <c r="F135" s="13" t="s">
        <v>693</v>
      </c>
      <c r="G135" s="147">
        <v>2</v>
      </c>
      <c r="H135" s="9"/>
      <c r="I135" s="10">
        <v>340000</v>
      </c>
    </row>
    <row r="136" spans="1:9" ht="15.75" x14ac:dyDescent="0.25">
      <c r="A136" s="4">
        <v>134</v>
      </c>
      <c r="B136" s="5" t="s">
        <v>696</v>
      </c>
      <c r="C136" s="6">
        <v>46061</v>
      </c>
      <c r="D136" s="11" t="s">
        <v>9</v>
      </c>
      <c r="E136" s="16" t="s">
        <v>13</v>
      </c>
      <c r="F136" s="13" t="s">
        <v>702</v>
      </c>
      <c r="G136" s="147">
        <v>2</v>
      </c>
      <c r="H136" s="9"/>
      <c r="I136" s="10">
        <v>1000000</v>
      </c>
    </row>
    <row r="137" spans="1:9" ht="15.75" x14ac:dyDescent="0.25">
      <c r="A137" s="4">
        <v>135</v>
      </c>
      <c r="B137" s="5" t="s">
        <v>697</v>
      </c>
      <c r="C137" s="6">
        <v>46061</v>
      </c>
      <c r="D137" s="11" t="s">
        <v>9</v>
      </c>
      <c r="E137" s="16" t="s">
        <v>1200</v>
      </c>
      <c r="F137" s="13" t="s">
        <v>721</v>
      </c>
      <c r="G137" s="147">
        <v>2</v>
      </c>
      <c r="H137" s="9"/>
      <c r="I137" s="10">
        <v>2500000</v>
      </c>
    </row>
    <row r="138" spans="1:9" ht="15.75" x14ac:dyDescent="0.25">
      <c r="A138" s="4">
        <v>136</v>
      </c>
      <c r="B138" s="5" t="s">
        <v>698</v>
      </c>
      <c r="C138" s="6">
        <v>46061</v>
      </c>
      <c r="D138" s="11" t="s">
        <v>9</v>
      </c>
      <c r="E138" s="16" t="s">
        <v>607</v>
      </c>
      <c r="F138" s="13" t="s">
        <v>703</v>
      </c>
      <c r="G138" s="147">
        <v>2</v>
      </c>
      <c r="H138" s="9"/>
      <c r="I138" s="10">
        <v>1000000</v>
      </c>
    </row>
    <row r="139" spans="1:9" ht="15.75" x14ac:dyDescent="0.25">
      <c r="A139" s="4">
        <v>137</v>
      </c>
      <c r="B139" s="5" t="s">
        <v>699</v>
      </c>
      <c r="C139" s="6">
        <v>46061</v>
      </c>
      <c r="D139" s="11" t="s">
        <v>9</v>
      </c>
      <c r="E139" s="16" t="s">
        <v>631</v>
      </c>
      <c r="F139" s="13" t="s">
        <v>632</v>
      </c>
      <c r="G139" s="147">
        <v>2</v>
      </c>
      <c r="H139" s="9"/>
      <c r="I139" s="10">
        <v>810000</v>
      </c>
    </row>
    <row r="140" spans="1:9" ht="15.75" x14ac:dyDescent="0.25">
      <c r="A140" s="4">
        <v>138</v>
      </c>
      <c r="B140" s="5" t="s">
        <v>700</v>
      </c>
      <c r="C140" s="6">
        <v>46061</v>
      </c>
      <c r="D140" s="11" t="s">
        <v>9</v>
      </c>
      <c r="E140" s="16" t="s">
        <v>704</v>
      </c>
      <c r="F140" s="13" t="s">
        <v>705</v>
      </c>
      <c r="G140" s="147">
        <v>2</v>
      </c>
      <c r="H140" s="9"/>
      <c r="I140" s="10">
        <v>1000000</v>
      </c>
    </row>
    <row r="141" spans="1:9" ht="15.75" x14ac:dyDescent="0.25">
      <c r="A141" s="4">
        <v>139</v>
      </c>
      <c r="B141" s="5" t="s">
        <v>701</v>
      </c>
      <c r="C141" s="6">
        <v>46061</v>
      </c>
      <c r="D141" s="11" t="s">
        <v>9</v>
      </c>
      <c r="E141" s="16" t="s">
        <v>10</v>
      </c>
      <c r="F141" s="13" t="s">
        <v>706</v>
      </c>
      <c r="G141" s="147">
        <v>2</v>
      </c>
      <c r="H141" s="9"/>
      <c r="I141" s="10">
        <v>300000</v>
      </c>
    </row>
    <row r="142" spans="1:9" ht="15.75" x14ac:dyDescent="0.25">
      <c r="A142" s="4">
        <v>140</v>
      </c>
      <c r="B142" s="5" t="s">
        <v>712</v>
      </c>
      <c r="C142" s="6">
        <v>46061</v>
      </c>
      <c r="D142" s="11" t="s">
        <v>21</v>
      </c>
      <c r="E142" s="16" t="s">
        <v>713</v>
      </c>
      <c r="F142" s="13" t="s">
        <v>714</v>
      </c>
      <c r="G142" s="147">
        <v>2</v>
      </c>
      <c r="H142" s="9"/>
      <c r="I142" s="10">
        <v>2200000</v>
      </c>
    </row>
    <row r="143" spans="1:9" ht="15.75" x14ac:dyDescent="0.25">
      <c r="A143" s="4">
        <v>141</v>
      </c>
      <c r="B143" s="5" t="s">
        <v>718</v>
      </c>
      <c r="C143" s="6">
        <v>46062</v>
      </c>
      <c r="D143" s="11" t="s">
        <v>9</v>
      </c>
      <c r="E143" s="16" t="s">
        <v>1200</v>
      </c>
      <c r="F143" s="13" t="s">
        <v>720</v>
      </c>
      <c r="G143" s="147">
        <v>2</v>
      </c>
      <c r="H143" s="9"/>
      <c r="I143" s="10">
        <v>500000</v>
      </c>
    </row>
    <row r="144" spans="1:9" ht="15.75" x14ac:dyDescent="0.25">
      <c r="A144" s="4">
        <v>142</v>
      </c>
      <c r="B144" s="5" t="s">
        <v>719</v>
      </c>
      <c r="C144" s="6">
        <v>46062</v>
      </c>
      <c r="D144" s="11" t="s">
        <v>9</v>
      </c>
      <c r="E144" s="16" t="s">
        <v>196</v>
      </c>
      <c r="F144" s="13" t="s">
        <v>569</v>
      </c>
      <c r="G144" s="147">
        <v>2</v>
      </c>
      <c r="H144" s="9" t="s">
        <v>17</v>
      </c>
      <c r="I144" s="10">
        <v>500000</v>
      </c>
    </row>
    <row r="145" spans="1:9" ht="15.75" x14ac:dyDescent="0.25">
      <c r="A145" s="4">
        <v>143</v>
      </c>
      <c r="B145" s="5" t="s">
        <v>722</v>
      </c>
      <c r="C145" s="6">
        <v>46063</v>
      </c>
      <c r="D145" s="11" t="s">
        <v>15</v>
      </c>
      <c r="E145" s="16" t="s">
        <v>446</v>
      </c>
      <c r="F145" s="13" t="s">
        <v>723</v>
      </c>
      <c r="G145" s="147">
        <v>2</v>
      </c>
      <c r="H145" s="9" t="s">
        <v>886</v>
      </c>
      <c r="I145" s="10">
        <v>5000000</v>
      </c>
    </row>
    <row r="146" spans="1:9" ht="15.75" x14ac:dyDescent="0.25">
      <c r="A146" s="4">
        <v>144</v>
      </c>
      <c r="B146" s="5" t="s">
        <v>725</v>
      </c>
      <c r="C146" s="6">
        <v>46063</v>
      </c>
      <c r="D146" s="11" t="s">
        <v>9</v>
      </c>
      <c r="E146" s="16" t="s">
        <v>13</v>
      </c>
      <c r="F146" s="13" t="s">
        <v>702</v>
      </c>
      <c r="G146" s="147">
        <v>2</v>
      </c>
      <c r="H146" s="9"/>
      <c r="I146" s="10">
        <v>500000</v>
      </c>
    </row>
    <row r="147" spans="1:9" ht="15.75" x14ac:dyDescent="0.25">
      <c r="A147" s="4">
        <v>145</v>
      </c>
      <c r="B147" s="5" t="s">
        <v>726</v>
      </c>
      <c r="C147" s="6">
        <v>46063</v>
      </c>
      <c r="D147" s="11" t="s">
        <v>21</v>
      </c>
      <c r="E147" s="16" t="s">
        <v>102</v>
      </c>
      <c r="F147" s="13" t="s">
        <v>103</v>
      </c>
      <c r="G147" s="147">
        <v>2</v>
      </c>
      <c r="H147" s="9"/>
      <c r="I147" s="10">
        <v>25000</v>
      </c>
    </row>
    <row r="148" spans="1:9" ht="15.75" x14ac:dyDescent="0.25">
      <c r="A148" s="4">
        <v>146</v>
      </c>
      <c r="B148" s="5" t="s">
        <v>727</v>
      </c>
      <c r="C148" s="6">
        <v>46063</v>
      </c>
      <c r="D148" s="11" t="s">
        <v>23</v>
      </c>
      <c r="E148" s="16" t="s">
        <v>728</v>
      </c>
      <c r="F148" s="13" t="s">
        <v>729</v>
      </c>
      <c r="G148" s="147">
        <v>2</v>
      </c>
      <c r="H148" s="9"/>
      <c r="I148" s="10">
        <v>600000</v>
      </c>
    </row>
    <row r="149" spans="1:9" ht="15.75" x14ac:dyDescent="0.25">
      <c r="A149" s="4">
        <v>147</v>
      </c>
      <c r="B149" s="5" t="s">
        <v>730</v>
      </c>
      <c r="C149" s="6">
        <v>46063</v>
      </c>
      <c r="D149" s="11" t="s">
        <v>21</v>
      </c>
      <c r="E149" s="16" t="s">
        <v>731</v>
      </c>
      <c r="F149" s="13" t="s">
        <v>732</v>
      </c>
      <c r="G149" s="147">
        <v>2</v>
      </c>
      <c r="H149" s="9"/>
      <c r="I149" s="10">
        <v>28000</v>
      </c>
    </row>
    <row r="150" spans="1:9" ht="15.75" x14ac:dyDescent="0.25">
      <c r="A150" s="4">
        <v>148</v>
      </c>
      <c r="B150" s="5" t="s">
        <v>733</v>
      </c>
      <c r="C150" s="6">
        <v>46063</v>
      </c>
      <c r="D150" s="11" t="s">
        <v>23</v>
      </c>
      <c r="E150" s="16" t="s">
        <v>578</v>
      </c>
      <c r="F150" s="13" t="s">
        <v>168</v>
      </c>
      <c r="G150" s="147">
        <v>2</v>
      </c>
      <c r="H150" s="9"/>
      <c r="I150" s="10">
        <v>1500000</v>
      </c>
    </row>
    <row r="151" spans="1:9" ht="15.75" x14ac:dyDescent="0.25">
      <c r="A151" s="4">
        <v>149</v>
      </c>
      <c r="B151" s="5" t="s">
        <v>734</v>
      </c>
      <c r="C151" s="6">
        <v>46064</v>
      </c>
      <c r="D151" s="11" t="s">
        <v>9</v>
      </c>
      <c r="E151" s="16" t="s">
        <v>17</v>
      </c>
      <c r="F151" s="13" t="s">
        <v>735</v>
      </c>
      <c r="G151" s="147">
        <v>2</v>
      </c>
      <c r="H151" s="9"/>
      <c r="I151" s="10">
        <v>308000</v>
      </c>
    </row>
    <row r="152" spans="1:9" ht="15.75" x14ac:dyDescent="0.25">
      <c r="A152" s="4">
        <v>150</v>
      </c>
      <c r="B152" s="5" t="s">
        <v>736</v>
      </c>
      <c r="C152" s="6">
        <v>46064</v>
      </c>
      <c r="D152" s="11" t="s">
        <v>9</v>
      </c>
      <c r="E152" s="16" t="s">
        <v>17</v>
      </c>
      <c r="F152" s="13" t="s">
        <v>740</v>
      </c>
      <c r="G152" s="147">
        <v>2</v>
      </c>
      <c r="H152" s="9"/>
      <c r="I152" s="10">
        <v>904000</v>
      </c>
    </row>
    <row r="153" spans="1:9" ht="15.75" x14ac:dyDescent="0.25">
      <c r="A153" s="4">
        <v>151</v>
      </c>
      <c r="B153" s="5" t="s">
        <v>737</v>
      </c>
      <c r="C153" s="6">
        <v>46064</v>
      </c>
      <c r="D153" s="11" t="s">
        <v>21</v>
      </c>
      <c r="E153" s="16" t="s">
        <v>102</v>
      </c>
      <c r="F153" s="13" t="s">
        <v>103</v>
      </c>
      <c r="G153" s="147">
        <v>2</v>
      </c>
      <c r="H153" s="9"/>
      <c r="I153" s="10">
        <v>29000</v>
      </c>
    </row>
    <row r="154" spans="1:9" ht="15.75" x14ac:dyDescent="0.25">
      <c r="A154" s="4">
        <v>152</v>
      </c>
      <c r="B154" s="5" t="s">
        <v>738</v>
      </c>
      <c r="C154" s="6">
        <v>46064</v>
      </c>
      <c r="D154" s="11" t="s">
        <v>587</v>
      </c>
      <c r="E154" s="16" t="s">
        <v>741</v>
      </c>
      <c r="F154" s="13" t="s">
        <v>744</v>
      </c>
      <c r="G154" s="147">
        <v>2</v>
      </c>
      <c r="H154" s="9"/>
      <c r="I154" s="10">
        <v>3150000</v>
      </c>
    </row>
    <row r="155" spans="1:9" ht="15.75" x14ac:dyDescent="0.25">
      <c r="A155" s="4">
        <v>153</v>
      </c>
      <c r="B155" s="5" t="s">
        <v>739</v>
      </c>
      <c r="C155" s="6">
        <v>46064</v>
      </c>
      <c r="D155" s="11" t="s">
        <v>587</v>
      </c>
      <c r="E155" s="16" t="s">
        <v>742</v>
      </c>
      <c r="F155" s="13" t="s">
        <v>743</v>
      </c>
      <c r="G155" s="147">
        <v>2</v>
      </c>
      <c r="H155" s="9"/>
      <c r="I155" s="10">
        <v>5500000</v>
      </c>
    </row>
    <row r="156" spans="1:9" ht="15.75" x14ac:dyDescent="0.25">
      <c r="A156" s="4">
        <v>154</v>
      </c>
      <c r="B156" s="5" t="s">
        <v>745</v>
      </c>
      <c r="C156" s="6">
        <v>46064</v>
      </c>
      <c r="D156" s="11" t="s">
        <v>9</v>
      </c>
      <c r="E156" s="16" t="s">
        <v>152</v>
      </c>
      <c r="F156" s="13" t="s">
        <v>705</v>
      </c>
      <c r="G156" s="147">
        <v>2</v>
      </c>
      <c r="H156" s="9"/>
      <c r="I156" s="10">
        <v>500000</v>
      </c>
    </row>
    <row r="157" spans="1:9" ht="15.75" x14ac:dyDescent="0.25">
      <c r="A157" s="4">
        <v>155</v>
      </c>
      <c r="B157" s="5" t="s">
        <v>748</v>
      </c>
      <c r="C157" s="6">
        <v>46065</v>
      </c>
      <c r="D157" s="11" t="s">
        <v>15</v>
      </c>
      <c r="E157" s="16" t="s">
        <v>746</v>
      </c>
      <c r="F157" s="13" t="s">
        <v>750</v>
      </c>
      <c r="G157" s="147">
        <v>2</v>
      </c>
      <c r="H157" s="9" t="s">
        <v>799</v>
      </c>
      <c r="I157" s="10">
        <v>110000000</v>
      </c>
    </row>
    <row r="158" spans="1:9" ht="15.75" x14ac:dyDescent="0.25">
      <c r="A158" s="4">
        <v>156</v>
      </c>
      <c r="B158" s="5" t="s">
        <v>749</v>
      </c>
      <c r="C158" s="6">
        <v>46065</v>
      </c>
      <c r="D158" s="11" t="s">
        <v>15</v>
      </c>
      <c r="E158" s="16" t="s">
        <v>747</v>
      </c>
      <c r="F158" s="13" t="s">
        <v>751</v>
      </c>
      <c r="G158" s="147">
        <v>2</v>
      </c>
      <c r="H158" s="9" t="s">
        <v>799</v>
      </c>
      <c r="I158" s="10">
        <v>110000000</v>
      </c>
    </row>
    <row r="159" spans="1:9" ht="15.75" x14ac:dyDescent="0.25">
      <c r="A159" s="4">
        <v>157</v>
      </c>
      <c r="B159" s="5" t="s">
        <v>752</v>
      </c>
      <c r="C159" s="6">
        <v>46067</v>
      </c>
      <c r="D159" s="11" t="s">
        <v>15</v>
      </c>
      <c r="E159" s="16" t="s">
        <v>754</v>
      </c>
      <c r="F159" s="149" t="s">
        <v>755</v>
      </c>
      <c r="G159" s="147">
        <v>2</v>
      </c>
      <c r="H159" s="9" t="s">
        <v>886</v>
      </c>
      <c r="I159" s="10">
        <v>5000000</v>
      </c>
    </row>
    <row r="160" spans="1:9" ht="15.75" x14ac:dyDescent="0.25">
      <c r="A160" s="4">
        <v>158</v>
      </c>
      <c r="B160" s="5" t="s">
        <v>753</v>
      </c>
      <c r="C160" s="6">
        <v>46067</v>
      </c>
      <c r="D160" s="11" t="s">
        <v>15</v>
      </c>
      <c r="E160" s="16" t="s">
        <v>549</v>
      </c>
      <c r="F160" s="149" t="s">
        <v>756</v>
      </c>
      <c r="G160" s="147">
        <v>2</v>
      </c>
      <c r="H160" s="9" t="s">
        <v>886</v>
      </c>
      <c r="I160" s="10">
        <v>7000000</v>
      </c>
    </row>
    <row r="161" spans="1:9" ht="15.75" x14ac:dyDescent="0.25">
      <c r="A161" s="4">
        <v>159</v>
      </c>
      <c r="B161" s="5" t="s">
        <v>757</v>
      </c>
      <c r="C161" s="6">
        <v>46067</v>
      </c>
      <c r="D161" s="11" t="s">
        <v>21</v>
      </c>
      <c r="E161" s="16" t="s">
        <v>99</v>
      </c>
      <c r="F161" s="13" t="s">
        <v>760</v>
      </c>
      <c r="G161" s="147">
        <v>2</v>
      </c>
      <c r="H161" s="9"/>
      <c r="I161" s="10">
        <v>2510000</v>
      </c>
    </row>
    <row r="162" spans="1:9" ht="15.75" x14ac:dyDescent="0.25">
      <c r="A162" s="4">
        <v>160</v>
      </c>
      <c r="B162" s="5" t="s">
        <v>758</v>
      </c>
      <c r="C162" s="6">
        <v>46067</v>
      </c>
      <c r="D162" s="11" t="s">
        <v>23</v>
      </c>
      <c r="E162" s="16" t="s">
        <v>105</v>
      </c>
      <c r="F162" s="13" t="s">
        <v>759</v>
      </c>
      <c r="G162" s="147">
        <v>2</v>
      </c>
      <c r="H162" s="9"/>
      <c r="I162" s="10">
        <v>4000000</v>
      </c>
    </row>
    <row r="163" spans="1:9" x14ac:dyDescent="0.25">
      <c r="A163" s="4">
        <v>161</v>
      </c>
      <c r="B163" s="5" t="s">
        <v>763</v>
      </c>
      <c r="C163" s="6">
        <v>46067</v>
      </c>
      <c r="D163" s="11" t="s">
        <v>9</v>
      </c>
      <c r="E163" s="8" t="s">
        <v>89</v>
      </c>
      <c r="F163" s="101" t="s">
        <v>90</v>
      </c>
      <c r="G163" s="147">
        <v>2</v>
      </c>
      <c r="H163" s="9"/>
      <c r="I163" s="10">
        <v>5000000</v>
      </c>
    </row>
    <row r="164" spans="1:9" ht="15.75" x14ac:dyDescent="0.25">
      <c r="A164" s="4">
        <v>162</v>
      </c>
      <c r="B164" s="5" t="s">
        <v>764</v>
      </c>
      <c r="C164" s="6">
        <v>46067</v>
      </c>
      <c r="D164" s="11" t="s">
        <v>15</v>
      </c>
      <c r="E164" s="16" t="s">
        <v>526</v>
      </c>
      <c r="F164" s="149" t="s">
        <v>766</v>
      </c>
      <c r="G164" s="147">
        <v>2</v>
      </c>
      <c r="H164" s="9" t="s">
        <v>886</v>
      </c>
      <c r="I164" s="10">
        <v>7000000</v>
      </c>
    </row>
    <row r="165" spans="1:9" ht="15.75" x14ac:dyDescent="0.25">
      <c r="A165" s="4">
        <v>163</v>
      </c>
      <c r="B165" s="5" t="s">
        <v>765</v>
      </c>
      <c r="C165" s="6">
        <v>46067</v>
      </c>
      <c r="D165" s="11" t="s">
        <v>15</v>
      </c>
      <c r="E165" s="16" t="s">
        <v>526</v>
      </c>
      <c r="F165" s="149" t="s">
        <v>766</v>
      </c>
      <c r="G165" s="147">
        <v>2</v>
      </c>
      <c r="H165" s="9" t="s">
        <v>886</v>
      </c>
      <c r="I165" s="10">
        <v>8000000</v>
      </c>
    </row>
    <row r="166" spans="1:9" ht="15.75" x14ac:dyDescent="0.25">
      <c r="A166" s="4">
        <v>164</v>
      </c>
      <c r="B166" s="5" t="s">
        <v>767</v>
      </c>
      <c r="C166" s="6">
        <v>46067</v>
      </c>
      <c r="D166" s="11" t="s">
        <v>9</v>
      </c>
      <c r="E166" s="16" t="s">
        <v>152</v>
      </c>
      <c r="F166" s="13" t="s">
        <v>702</v>
      </c>
      <c r="G166" s="147">
        <v>2</v>
      </c>
      <c r="H166" s="9"/>
      <c r="I166" s="10">
        <v>250000</v>
      </c>
    </row>
    <row r="167" spans="1:9" ht="15.75" x14ac:dyDescent="0.25">
      <c r="A167" s="4">
        <v>165</v>
      </c>
      <c r="B167" s="5" t="s">
        <v>769</v>
      </c>
      <c r="C167" s="6">
        <v>46068</v>
      </c>
      <c r="D167" s="11" t="s">
        <v>15</v>
      </c>
      <c r="E167" s="16" t="s">
        <v>460</v>
      </c>
      <c r="F167" s="13" t="s">
        <v>770</v>
      </c>
      <c r="G167" s="147">
        <v>2</v>
      </c>
      <c r="H167" s="9" t="s">
        <v>886</v>
      </c>
      <c r="I167" s="10">
        <v>1000000</v>
      </c>
    </row>
    <row r="168" spans="1:9" x14ac:dyDescent="0.25">
      <c r="A168" s="4">
        <v>166</v>
      </c>
      <c r="B168" s="5" t="s">
        <v>772</v>
      </c>
      <c r="C168" s="6">
        <v>46068</v>
      </c>
      <c r="D168" s="11" t="s">
        <v>9</v>
      </c>
      <c r="E168" s="16" t="s">
        <v>196</v>
      </c>
      <c r="F168" s="101" t="s">
        <v>782</v>
      </c>
      <c r="G168" s="147">
        <v>2</v>
      </c>
      <c r="H168" s="9" t="s">
        <v>17</v>
      </c>
      <c r="I168" s="10">
        <v>200000</v>
      </c>
    </row>
    <row r="169" spans="1:9" ht="15.75" x14ac:dyDescent="0.25">
      <c r="A169" s="4">
        <v>167</v>
      </c>
      <c r="B169" s="5" t="s">
        <v>773</v>
      </c>
      <c r="C169" s="6">
        <v>46068</v>
      </c>
      <c r="D169" s="11" t="s">
        <v>9</v>
      </c>
      <c r="E169" s="16" t="s">
        <v>1200</v>
      </c>
      <c r="F169" s="13" t="s">
        <v>781</v>
      </c>
      <c r="G169" s="147">
        <v>2</v>
      </c>
      <c r="H169" s="9"/>
      <c r="I169" s="10">
        <v>200000</v>
      </c>
    </row>
    <row r="170" spans="1:9" ht="15.75" x14ac:dyDescent="0.25">
      <c r="A170" s="4">
        <v>168</v>
      </c>
      <c r="B170" s="5" t="s">
        <v>774</v>
      </c>
      <c r="C170" s="6">
        <v>46068</v>
      </c>
      <c r="D170" s="11" t="s">
        <v>9</v>
      </c>
      <c r="E170" s="16" t="s">
        <v>692</v>
      </c>
      <c r="F170" s="13" t="s">
        <v>780</v>
      </c>
      <c r="G170" s="147">
        <v>2</v>
      </c>
      <c r="H170" s="9"/>
      <c r="I170" s="10">
        <v>450000</v>
      </c>
    </row>
    <row r="171" spans="1:9" ht="15.75" x14ac:dyDescent="0.25">
      <c r="A171" s="4">
        <v>169</v>
      </c>
      <c r="B171" s="5" t="s">
        <v>775</v>
      </c>
      <c r="C171" s="6">
        <v>46068</v>
      </c>
      <c r="D171" s="11" t="s">
        <v>21</v>
      </c>
      <c r="E171" s="16" t="s">
        <v>783</v>
      </c>
      <c r="F171" s="13" t="s">
        <v>784</v>
      </c>
      <c r="G171" s="147">
        <v>2</v>
      </c>
      <c r="H171" s="9"/>
      <c r="I171" s="10">
        <v>100000</v>
      </c>
    </row>
    <row r="172" spans="1:9" ht="15.75" x14ac:dyDescent="0.25">
      <c r="A172" s="4">
        <v>170</v>
      </c>
      <c r="B172" s="5" t="s">
        <v>776</v>
      </c>
      <c r="C172" s="6">
        <v>46068</v>
      </c>
      <c r="D172" s="11" t="s">
        <v>9</v>
      </c>
      <c r="E172" s="16" t="s">
        <v>692</v>
      </c>
      <c r="F172" s="13" t="s">
        <v>785</v>
      </c>
      <c r="G172" s="147">
        <v>2</v>
      </c>
      <c r="H172" s="9"/>
      <c r="I172" s="10">
        <v>35000</v>
      </c>
    </row>
    <row r="173" spans="1:9" ht="15.75" x14ac:dyDescent="0.25">
      <c r="A173" s="4">
        <v>171</v>
      </c>
      <c r="B173" s="5" t="s">
        <v>778</v>
      </c>
      <c r="C173" s="6">
        <v>46068</v>
      </c>
      <c r="D173" s="11" t="s">
        <v>9</v>
      </c>
      <c r="E173" s="16" t="s">
        <v>17</v>
      </c>
      <c r="F173" s="13" t="s">
        <v>786</v>
      </c>
      <c r="G173" s="147">
        <v>2</v>
      </c>
      <c r="H173" s="9"/>
      <c r="I173" s="10">
        <v>450000</v>
      </c>
    </row>
    <row r="174" spans="1:9" ht="15.75" x14ac:dyDescent="0.25">
      <c r="A174" s="4">
        <v>172</v>
      </c>
      <c r="B174" s="5" t="s">
        <v>779</v>
      </c>
      <c r="C174" s="6">
        <v>46068</v>
      </c>
      <c r="D174" s="11" t="s">
        <v>9</v>
      </c>
      <c r="E174" s="16" t="s">
        <v>17</v>
      </c>
      <c r="F174" s="13" t="s">
        <v>777</v>
      </c>
      <c r="G174" s="147">
        <v>2</v>
      </c>
      <c r="H174" s="9"/>
      <c r="I174" s="10">
        <v>70000</v>
      </c>
    </row>
    <row r="175" spans="1:9" ht="15.75" x14ac:dyDescent="0.25">
      <c r="A175" s="4">
        <v>173</v>
      </c>
      <c r="B175" s="5" t="s">
        <v>789</v>
      </c>
      <c r="C175" s="6">
        <v>46068</v>
      </c>
      <c r="D175" s="11" t="s">
        <v>21</v>
      </c>
      <c r="E175" s="16" t="s">
        <v>787</v>
      </c>
      <c r="F175" s="13" t="s">
        <v>788</v>
      </c>
      <c r="G175" s="147">
        <v>2</v>
      </c>
      <c r="H175" s="9"/>
      <c r="I175" s="10">
        <v>100000</v>
      </c>
    </row>
    <row r="176" spans="1:9" ht="15.75" x14ac:dyDescent="0.25">
      <c r="A176" s="4">
        <v>174</v>
      </c>
      <c r="B176" s="5" t="s">
        <v>790</v>
      </c>
      <c r="C176" s="6">
        <v>46069</v>
      </c>
      <c r="D176" s="11" t="s">
        <v>15</v>
      </c>
      <c r="E176" s="16" t="s">
        <v>792</v>
      </c>
      <c r="F176" s="13" t="s">
        <v>793</v>
      </c>
      <c r="G176" s="147">
        <v>2</v>
      </c>
      <c r="H176" s="9" t="s">
        <v>798</v>
      </c>
      <c r="I176" s="10">
        <v>135000000</v>
      </c>
    </row>
    <row r="177" spans="1:9" x14ac:dyDescent="0.25">
      <c r="A177" s="4">
        <v>175</v>
      </c>
      <c r="B177" s="5" t="s">
        <v>791</v>
      </c>
      <c r="C177" s="6">
        <v>46069</v>
      </c>
      <c r="D177" s="11" t="s">
        <v>15</v>
      </c>
      <c r="E177" s="16" t="s">
        <v>792</v>
      </c>
      <c r="F177" s="114" t="s">
        <v>875</v>
      </c>
      <c r="G177" s="147">
        <v>2</v>
      </c>
      <c r="H177" s="9" t="s">
        <v>886</v>
      </c>
      <c r="I177" s="10">
        <v>5000000</v>
      </c>
    </row>
    <row r="178" spans="1:9" ht="15.75" x14ac:dyDescent="0.25">
      <c r="A178" s="4">
        <v>176</v>
      </c>
      <c r="B178" s="5" t="s">
        <v>794</v>
      </c>
      <c r="C178" s="6">
        <v>46069</v>
      </c>
      <c r="D178" s="11" t="s">
        <v>21</v>
      </c>
      <c r="E178" s="16" t="s">
        <v>796</v>
      </c>
      <c r="F178" s="13" t="s">
        <v>797</v>
      </c>
      <c r="G178" s="147">
        <v>2</v>
      </c>
      <c r="H178" s="9"/>
      <c r="I178" s="10">
        <v>250000</v>
      </c>
    </row>
    <row r="179" spans="1:9" ht="15.75" x14ac:dyDescent="0.25">
      <c r="A179" s="4">
        <v>177</v>
      </c>
      <c r="B179" s="5" t="s">
        <v>795</v>
      </c>
      <c r="C179" s="6">
        <v>46069</v>
      </c>
      <c r="D179" s="11" t="s">
        <v>21</v>
      </c>
      <c r="E179" s="16" t="s">
        <v>102</v>
      </c>
      <c r="F179" s="13" t="s">
        <v>103</v>
      </c>
      <c r="G179" s="147">
        <v>2</v>
      </c>
      <c r="H179" s="9"/>
      <c r="I179" s="10">
        <v>20000</v>
      </c>
    </row>
    <row r="180" spans="1:9" x14ac:dyDescent="0.25">
      <c r="A180" s="4">
        <v>178</v>
      </c>
      <c r="B180" s="5" t="s">
        <v>800</v>
      </c>
      <c r="C180" s="6">
        <v>46070</v>
      </c>
      <c r="D180" s="11" t="s">
        <v>9</v>
      </c>
      <c r="E180" s="16" t="s">
        <v>801</v>
      </c>
      <c r="F180" s="16" t="s">
        <v>802</v>
      </c>
      <c r="G180" s="147">
        <v>2</v>
      </c>
      <c r="H180" s="9"/>
      <c r="I180" s="10">
        <v>750000</v>
      </c>
    </row>
    <row r="181" spans="1:9" ht="15.75" x14ac:dyDescent="0.25">
      <c r="A181" s="4">
        <v>179</v>
      </c>
      <c r="B181" s="5" t="s">
        <v>807</v>
      </c>
      <c r="C181" s="6">
        <v>46070</v>
      </c>
      <c r="D181" s="11" t="s">
        <v>9</v>
      </c>
      <c r="E181" s="16" t="s">
        <v>97</v>
      </c>
      <c r="F181" s="13" t="s">
        <v>806</v>
      </c>
      <c r="G181" s="147">
        <v>2</v>
      </c>
      <c r="H181" s="9"/>
      <c r="I181" s="10">
        <v>500000</v>
      </c>
    </row>
    <row r="182" spans="1:9" ht="15.75" x14ac:dyDescent="0.25">
      <c r="A182" s="4">
        <v>180</v>
      </c>
      <c r="B182" s="5" t="s">
        <v>808</v>
      </c>
      <c r="C182" s="6">
        <v>46070</v>
      </c>
      <c r="D182" s="11" t="s">
        <v>15</v>
      </c>
      <c r="E182" s="16" t="s">
        <v>401</v>
      </c>
      <c r="F182" s="13" t="s">
        <v>810</v>
      </c>
      <c r="G182" s="147">
        <v>2</v>
      </c>
      <c r="H182" s="9" t="s">
        <v>886</v>
      </c>
      <c r="I182" s="10">
        <v>6000000</v>
      </c>
    </row>
    <row r="183" spans="1:9" ht="15.75" x14ac:dyDescent="0.25">
      <c r="A183" s="4">
        <v>181</v>
      </c>
      <c r="B183" s="5" t="s">
        <v>809</v>
      </c>
      <c r="C183" s="6">
        <v>46070</v>
      </c>
      <c r="D183" s="11" t="s">
        <v>15</v>
      </c>
      <c r="E183" s="16" t="s">
        <v>337</v>
      </c>
      <c r="F183" s="13" t="s">
        <v>811</v>
      </c>
      <c r="G183" s="147">
        <v>2</v>
      </c>
      <c r="H183" s="9" t="s">
        <v>886</v>
      </c>
      <c r="I183" s="10">
        <v>3000000</v>
      </c>
    </row>
    <row r="184" spans="1:9" ht="15.75" x14ac:dyDescent="0.25">
      <c r="A184" s="4">
        <v>182</v>
      </c>
      <c r="B184" s="5" t="s">
        <v>812</v>
      </c>
      <c r="C184" s="6">
        <v>46071</v>
      </c>
      <c r="D184" s="11" t="s">
        <v>23</v>
      </c>
      <c r="E184" s="16" t="s">
        <v>728</v>
      </c>
      <c r="F184" s="13" t="s">
        <v>679</v>
      </c>
      <c r="G184" s="147">
        <v>2</v>
      </c>
      <c r="H184" s="9"/>
      <c r="I184" s="10">
        <v>2500000</v>
      </c>
    </row>
    <row r="185" spans="1:9" ht="15.75" x14ac:dyDescent="0.25">
      <c r="A185" s="4">
        <v>183</v>
      </c>
      <c r="B185" s="5" t="s">
        <v>813</v>
      </c>
      <c r="C185" s="6">
        <v>46071</v>
      </c>
      <c r="D185" s="11" t="s">
        <v>9</v>
      </c>
      <c r="E185" s="16" t="s">
        <v>83</v>
      </c>
      <c r="F185" s="13" t="s">
        <v>828</v>
      </c>
      <c r="G185" s="147">
        <v>2</v>
      </c>
      <c r="H185" s="9"/>
      <c r="I185" s="10">
        <v>5000000</v>
      </c>
    </row>
    <row r="186" spans="1:9" ht="15.75" x14ac:dyDescent="0.25">
      <c r="A186" s="4">
        <v>184</v>
      </c>
      <c r="B186" s="5" t="s">
        <v>814</v>
      </c>
      <c r="C186" s="6">
        <v>46071</v>
      </c>
      <c r="D186" s="11" t="s">
        <v>9</v>
      </c>
      <c r="E186" s="16" t="s">
        <v>815</v>
      </c>
      <c r="F186" s="13" t="s">
        <v>816</v>
      </c>
      <c r="G186" s="147">
        <v>2</v>
      </c>
      <c r="H186" s="9"/>
      <c r="I186" s="10">
        <v>10000000</v>
      </c>
    </row>
    <row r="187" spans="1:9" ht="15.75" x14ac:dyDescent="0.25">
      <c r="A187" s="4">
        <v>185</v>
      </c>
      <c r="B187" s="5" t="s">
        <v>817</v>
      </c>
      <c r="C187" s="6">
        <v>46071</v>
      </c>
      <c r="D187" s="11" t="s">
        <v>9</v>
      </c>
      <c r="E187" s="16" t="s">
        <v>819</v>
      </c>
      <c r="F187" s="13" t="s">
        <v>1226</v>
      </c>
      <c r="G187" s="147">
        <v>2</v>
      </c>
      <c r="H187" s="9" t="s">
        <v>17</v>
      </c>
      <c r="I187" s="10">
        <v>400000</v>
      </c>
    </row>
    <row r="188" spans="1:9" ht="15.75" x14ac:dyDescent="0.25">
      <c r="A188" s="4">
        <v>186</v>
      </c>
      <c r="B188" s="5" t="s">
        <v>818</v>
      </c>
      <c r="C188" s="6">
        <v>46071</v>
      </c>
      <c r="D188" s="11" t="s">
        <v>9</v>
      </c>
      <c r="E188" s="16" t="s">
        <v>89</v>
      </c>
      <c r="F188" s="13" t="s">
        <v>821</v>
      </c>
      <c r="G188" s="147">
        <v>2</v>
      </c>
      <c r="H188" s="9"/>
      <c r="I188" s="10">
        <v>11400000</v>
      </c>
    </row>
    <row r="189" spans="1:9" ht="15.75" x14ac:dyDescent="0.25">
      <c r="A189" s="4">
        <v>187</v>
      </c>
      <c r="B189" s="5" t="s">
        <v>822</v>
      </c>
      <c r="C189" s="6">
        <v>46071</v>
      </c>
      <c r="D189" s="11" t="s">
        <v>9</v>
      </c>
      <c r="E189" s="16" t="s">
        <v>829</v>
      </c>
      <c r="F189" s="13" t="s">
        <v>823</v>
      </c>
      <c r="G189" s="147">
        <v>2</v>
      </c>
      <c r="H189" s="9" t="s">
        <v>17</v>
      </c>
      <c r="I189" s="10">
        <v>4000000</v>
      </c>
    </row>
    <row r="190" spans="1:9" ht="15.75" x14ac:dyDescent="0.25">
      <c r="A190" s="4">
        <v>188</v>
      </c>
      <c r="B190" s="5" t="s">
        <v>824</v>
      </c>
      <c r="C190" s="6">
        <v>46071</v>
      </c>
      <c r="D190" s="11" t="s">
        <v>23</v>
      </c>
      <c r="E190" s="16" t="s">
        <v>578</v>
      </c>
      <c r="F190" s="13" t="s">
        <v>106</v>
      </c>
      <c r="G190" s="147">
        <v>2</v>
      </c>
      <c r="H190" s="9"/>
      <c r="I190" s="10">
        <v>6000000</v>
      </c>
    </row>
    <row r="191" spans="1:9" ht="15.75" x14ac:dyDescent="0.25">
      <c r="A191" s="4">
        <v>189</v>
      </c>
      <c r="B191" s="5" t="s">
        <v>827</v>
      </c>
      <c r="C191" s="6">
        <v>46071</v>
      </c>
      <c r="D191" s="11" t="s">
        <v>21</v>
      </c>
      <c r="E191" s="16" t="s">
        <v>825</v>
      </c>
      <c r="F191" s="13" t="s">
        <v>826</v>
      </c>
      <c r="G191" s="147">
        <v>2</v>
      </c>
      <c r="H191" s="9"/>
      <c r="I191" s="10">
        <v>5000000</v>
      </c>
    </row>
    <row r="192" spans="1:9" ht="15.75" x14ac:dyDescent="0.25">
      <c r="A192" s="4">
        <v>190</v>
      </c>
      <c r="B192" s="5" t="s">
        <v>830</v>
      </c>
      <c r="C192" s="6">
        <v>46072</v>
      </c>
      <c r="D192" s="11" t="s">
        <v>9</v>
      </c>
      <c r="E192" s="16" t="s">
        <v>832</v>
      </c>
      <c r="F192" s="13" t="s">
        <v>833</v>
      </c>
      <c r="G192" s="147">
        <v>2</v>
      </c>
      <c r="H192" s="9" t="s">
        <v>17</v>
      </c>
      <c r="I192" s="10">
        <v>500000</v>
      </c>
    </row>
    <row r="193" spans="1:9" ht="15.75" x14ac:dyDescent="0.25">
      <c r="A193" s="4">
        <v>191</v>
      </c>
      <c r="B193" s="5" t="s">
        <v>831</v>
      </c>
      <c r="C193" s="6">
        <v>46072</v>
      </c>
      <c r="D193" s="11" t="s">
        <v>9</v>
      </c>
      <c r="E193" s="16" t="s">
        <v>97</v>
      </c>
      <c r="F193" s="13" t="s">
        <v>834</v>
      </c>
      <c r="G193" s="147">
        <v>2</v>
      </c>
      <c r="H193" s="9"/>
      <c r="I193" s="10">
        <v>306500</v>
      </c>
    </row>
    <row r="194" spans="1:9" ht="15.75" x14ac:dyDescent="0.25">
      <c r="A194" s="4">
        <v>192</v>
      </c>
      <c r="B194" s="5" t="s">
        <v>835</v>
      </c>
      <c r="C194" s="6">
        <v>46072</v>
      </c>
      <c r="D194" s="11" t="s">
        <v>9</v>
      </c>
      <c r="E194" s="16" t="s">
        <v>704</v>
      </c>
      <c r="F194" s="13" t="s">
        <v>836</v>
      </c>
      <c r="G194" s="147">
        <v>2</v>
      </c>
      <c r="H194" s="9"/>
      <c r="I194" s="10">
        <v>500000</v>
      </c>
    </row>
    <row r="195" spans="1:9" ht="15.75" x14ac:dyDescent="0.25">
      <c r="A195" s="4">
        <v>193</v>
      </c>
      <c r="B195" s="5" t="s">
        <v>837</v>
      </c>
      <c r="C195" s="6">
        <v>46072</v>
      </c>
      <c r="D195" s="11" t="s">
        <v>23</v>
      </c>
      <c r="E195" s="16" t="s">
        <v>105</v>
      </c>
      <c r="F195" s="13" t="s">
        <v>841</v>
      </c>
      <c r="G195" s="147">
        <v>2</v>
      </c>
      <c r="H195" s="9"/>
      <c r="I195" s="10">
        <v>40000000</v>
      </c>
    </row>
    <row r="196" spans="1:9" ht="15.75" x14ac:dyDescent="0.25">
      <c r="A196" s="4">
        <v>194</v>
      </c>
      <c r="B196" s="5" t="s">
        <v>838</v>
      </c>
      <c r="C196" s="6">
        <v>46072</v>
      </c>
      <c r="D196" s="11" t="s">
        <v>9</v>
      </c>
      <c r="E196" s="16" t="s">
        <v>114</v>
      </c>
      <c r="F196" s="13" t="s">
        <v>840</v>
      </c>
      <c r="G196" s="147">
        <v>2</v>
      </c>
      <c r="H196" s="9"/>
      <c r="I196" s="10">
        <v>1000000</v>
      </c>
    </row>
    <row r="197" spans="1:9" ht="15.75" x14ac:dyDescent="0.25">
      <c r="A197" s="4">
        <v>195</v>
      </c>
      <c r="B197" s="5" t="s">
        <v>839</v>
      </c>
      <c r="C197" s="6">
        <v>46072</v>
      </c>
      <c r="D197" s="11" t="s">
        <v>9</v>
      </c>
      <c r="E197" s="16" t="s">
        <v>171</v>
      </c>
      <c r="F197" s="13" t="s">
        <v>842</v>
      </c>
      <c r="G197" s="147">
        <v>2</v>
      </c>
      <c r="H197" s="9"/>
      <c r="I197" s="10">
        <v>10000000</v>
      </c>
    </row>
    <row r="198" spans="1:9" ht="15.75" x14ac:dyDescent="0.25">
      <c r="A198" s="4">
        <v>196</v>
      </c>
      <c r="B198" s="5" t="s">
        <v>843</v>
      </c>
      <c r="C198" s="6">
        <v>46074</v>
      </c>
      <c r="D198" s="11" t="s">
        <v>15</v>
      </c>
      <c r="E198" s="16" t="s">
        <v>144</v>
      </c>
      <c r="F198" s="13" t="s">
        <v>145</v>
      </c>
      <c r="G198" s="147">
        <v>2</v>
      </c>
      <c r="H198" s="9" t="s">
        <v>886</v>
      </c>
      <c r="I198" s="10">
        <v>10000000</v>
      </c>
    </row>
    <row r="199" spans="1:9" ht="15.75" x14ac:dyDescent="0.25">
      <c r="A199" s="4">
        <v>197</v>
      </c>
      <c r="B199" s="5" t="s">
        <v>844</v>
      </c>
      <c r="C199" s="6">
        <v>46074</v>
      </c>
      <c r="D199" s="11" t="s">
        <v>15</v>
      </c>
      <c r="E199" s="16" t="s">
        <v>845</v>
      </c>
      <c r="F199" s="13" t="s">
        <v>148</v>
      </c>
      <c r="G199" s="147">
        <v>2</v>
      </c>
      <c r="H199" s="9" t="s">
        <v>886</v>
      </c>
      <c r="I199" s="10">
        <v>10000000</v>
      </c>
    </row>
    <row r="200" spans="1:9" ht="15.75" x14ac:dyDescent="0.25">
      <c r="A200" s="4">
        <v>198</v>
      </c>
      <c r="B200" s="5" t="s">
        <v>847</v>
      </c>
      <c r="C200" s="6">
        <v>46074</v>
      </c>
      <c r="D200" s="11" t="s">
        <v>9</v>
      </c>
      <c r="E200" s="16" t="s">
        <v>114</v>
      </c>
      <c r="F200" s="13" t="s">
        <v>846</v>
      </c>
      <c r="G200" s="147">
        <v>2</v>
      </c>
      <c r="H200" s="9"/>
      <c r="I200" s="10">
        <v>1100000</v>
      </c>
    </row>
    <row r="201" spans="1:9" ht="15.75" x14ac:dyDescent="0.25">
      <c r="A201" s="4">
        <v>199</v>
      </c>
      <c r="B201" s="5" t="s">
        <v>848</v>
      </c>
      <c r="C201" s="6">
        <v>46074</v>
      </c>
      <c r="D201" s="11" t="s">
        <v>9</v>
      </c>
      <c r="E201" s="16" t="s">
        <v>10</v>
      </c>
      <c r="F201" s="13" t="s">
        <v>851</v>
      </c>
      <c r="G201" s="147">
        <v>2</v>
      </c>
      <c r="H201" s="9"/>
      <c r="I201" s="10">
        <v>375000</v>
      </c>
    </row>
    <row r="202" spans="1:9" ht="15.75" x14ac:dyDescent="0.25">
      <c r="A202" s="4">
        <v>200</v>
      </c>
      <c r="B202" s="5" t="s">
        <v>849</v>
      </c>
      <c r="C202" s="6">
        <v>46074</v>
      </c>
      <c r="D202" s="11" t="s">
        <v>9</v>
      </c>
      <c r="E202" s="16" t="s">
        <v>832</v>
      </c>
      <c r="F202" s="13" t="s">
        <v>852</v>
      </c>
      <c r="G202" s="147">
        <v>2</v>
      </c>
      <c r="H202" s="9" t="s">
        <v>17</v>
      </c>
      <c r="I202" s="10">
        <v>500000</v>
      </c>
    </row>
    <row r="203" spans="1:9" ht="15.75" x14ac:dyDescent="0.25">
      <c r="A203" s="4">
        <v>201</v>
      </c>
      <c r="B203" s="5" t="s">
        <v>850</v>
      </c>
      <c r="C203" s="6">
        <v>46074</v>
      </c>
      <c r="D203" s="11" t="s">
        <v>9</v>
      </c>
      <c r="E203" s="16" t="s">
        <v>17</v>
      </c>
      <c r="F203" s="13" t="s">
        <v>887</v>
      </c>
      <c r="G203" s="147">
        <v>2</v>
      </c>
      <c r="H203" s="9"/>
      <c r="I203" s="10">
        <v>150000</v>
      </c>
    </row>
    <row r="204" spans="1:9" ht="15.75" x14ac:dyDescent="0.25">
      <c r="A204" s="4">
        <v>202</v>
      </c>
      <c r="B204" s="5" t="s">
        <v>853</v>
      </c>
      <c r="C204" s="6">
        <v>46074</v>
      </c>
      <c r="D204" s="11" t="s">
        <v>15</v>
      </c>
      <c r="E204" s="16" t="s">
        <v>477</v>
      </c>
      <c r="F204" s="13" t="s">
        <v>854</v>
      </c>
      <c r="G204" s="147">
        <v>2</v>
      </c>
      <c r="H204" s="9" t="s">
        <v>886</v>
      </c>
      <c r="I204" s="10">
        <v>4000000</v>
      </c>
    </row>
    <row r="205" spans="1:9" ht="15.75" x14ac:dyDescent="0.25">
      <c r="A205" s="4">
        <v>203</v>
      </c>
      <c r="B205" s="5" t="s">
        <v>855</v>
      </c>
      <c r="C205" s="6">
        <v>46074</v>
      </c>
      <c r="D205" s="11" t="s">
        <v>9</v>
      </c>
      <c r="E205" s="16" t="s">
        <v>607</v>
      </c>
      <c r="F205" s="13" t="s">
        <v>609</v>
      </c>
      <c r="G205" s="147">
        <v>2</v>
      </c>
      <c r="H205" s="9"/>
      <c r="I205" s="10">
        <v>1250000</v>
      </c>
    </row>
    <row r="206" spans="1:9" ht="15.75" x14ac:dyDescent="0.25">
      <c r="A206" s="4">
        <v>204</v>
      </c>
      <c r="B206" s="5" t="s">
        <v>856</v>
      </c>
      <c r="C206" s="6">
        <v>46074</v>
      </c>
      <c r="D206" s="11" t="s">
        <v>21</v>
      </c>
      <c r="E206" s="16" t="s">
        <v>102</v>
      </c>
      <c r="F206" s="13" t="s">
        <v>103</v>
      </c>
      <c r="G206" s="147">
        <v>2</v>
      </c>
      <c r="H206" s="9"/>
      <c r="I206" s="10">
        <v>45000</v>
      </c>
    </row>
    <row r="207" spans="1:9" ht="15.75" x14ac:dyDescent="0.25">
      <c r="A207" s="4">
        <v>205</v>
      </c>
      <c r="B207" s="5" t="s">
        <v>857</v>
      </c>
      <c r="C207" s="6">
        <v>46075</v>
      </c>
      <c r="D207" s="11" t="s">
        <v>9</v>
      </c>
      <c r="E207" s="16" t="s">
        <v>13</v>
      </c>
      <c r="F207" s="13" t="s">
        <v>859</v>
      </c>
      <c r="G207" s="147">
        <v>2</v>
      </c>
      <c r="H207" s="9"/>
      <c r="I207" s="10">
        <v>1500000</v>
      </c>
    </row>
    <row r="208" spans="1:9" ht="15.75" x14ac:dyDescent="0.25">
      <c r="A208" s="4">
        <v>206</v>
      </c>
      <c r="B208" s="5" t="s">
        <v>858</v>
      </c>
      <c r="C208" s="6">
        <v>46075</v>
      </c>
      <c r="D208" s="11" t="s">
        <v>9</v>
      </c>
      <c r="E208" s="16" t="s">
        <v>152</v>
      </c>
      <c r="F208" s="13" t="s">
        <v>860</v>
      </c>
      <c r="G208" s="147">
        <v>2</v>
      </c>
      <c r="H208" s="9"/>
      <c r="I208" s="10">
        <v>1000000</v>
      </c>
    </row>
    <row r="209" spans="1:13" ht="15.75" x14ac:dyDescent="0.25">
      <c r="A209" s="4">
        <v>207</v>
      </c>
      <c r="B209" s="5" t="s">
        <v>862</v>
      </c>
      <c r="C209" s="6">
        <v>46075</v>
      </c>
      <c r="D209" s="11" t="s">
        <v>9</v>
      </c>
      <c r="E209" s="16" t="s">
        <v>864</v>
      </c>
      <c r="F209" s="13" t="s">
        <v>863</v>
      </c>
      <c r="G209" s="147">
        <v>2</v>
      </c>
      <c r="H209" s="9"/>
      <c r="I209" s="10">
        <v>1423000</v>
      </c>
    </row>
    <row r="210" spans="1:13" ht="15.75" x14ac:dyDescent="0.25">
      <c r="A210" s="4">
        <v>208</v>
      </c>
      <c r="B210" s="5" t="s">
        <v>861</v>
      </c>
      <c r="C210" s="6">
        <v>46075</v>
      </c>
      <c r="D210" s="11" t="s">
        <v>15</v>
      </c>
      <c r="E210" s="16" t="s">
        <v>48</v>
      </c>
      <c r="F210" s="13" t="s">
        <v>49</v>
      </c>
      <c r="G210" s="147">
        <v>2</v>
      </c>
      <c r="H210" s="9" t="s">
        <v>886</v>
      </c>
      <c r="I210" s="10">
        <v>1000000</v>
      </c>
    </row>
    <row r="211" spans="1:13" ht="15.75" x14ac:dyDescent="0.25">
      <c r="A211" s="4">
        <v>209</v>
      </c>
      <c r="B211" s="5" t="s">
        <v>866</v>
      </c>
      <c r="C211" s="6">
        <v>46075</v>
      </c>
      <c r="D211" s="11" t="s">
        <v>9</v>
      </c>
      <c r="E211" s="16" t="s">
        <v>1200</v>
      </c>
      <c r="F211" s="13" t="s">
        <v>865</v>
      </c>
      <c r="G211" s="147">
        <v>2</v>
      </c>
      <c r="H211" s="9"/>
      <c r="I211" s="10">
        <v>2200000</v>
      </c>
    </row>
    <row r="212" spans="1:13" ht="15.75" x14ac:dyDescent="0.25">
      <c r="A212" s="4">
        <v>210</v>
      </c>
      <c r="B212" s="5" t="s">
        <v>867</v>
      </c>
      <c r="C212" s="6">
        <v>46075</v>
      </c>
      <c r="D212" s="11" t="s">
        <v>9</v>
      </c>
      <c r="E212" s="16" t="s">
        <v>17</v>
      </c>
      <c r="F212" s="13" t="s">
        <v>868</v>
      </c>
      <c r="G212" s="147">
        <v>2</v>
      </c>
      <c r="H212" s="9"/>
      <c r="I212" s="10">
        <v>2500000</v>
      </c>
    </row>
    <row r="213" spans="1:13" ht="15.75" x14ac:dyDescent="0.25">
      <c r="A213" s="4">
        <v>211</v>
      </c>
      <c r="B213" s="5" t="s">
        <v>869</v>
      </c>
      <c r="C213" s="6">
        <v>46075</v>
      </c>
      <c r="D213" s="11" t="s">
        <v>21</v>
      </c>
      <c r="E213" s="16" t="s">
        <v>870</v>
      </c>
      <c r="F213" s="13" t="s">
        <v>871</v>
      </c>
      <c r="G213" s="147">
        <v>2</v>
      </c>
      <c r="H213" s="9"/>
      <c r="I213" s="10">
        <v>5000000</v>
      </c>
    </row>
    <row r="214" spans="1:13" ht="15.75" x14ac:dyDescent="0.25">
      <c r="A214" s="4">
        <v>212</v>
      </c>
      <c r="B214" s="5" t="s">
        <v>872</v>
      </c>
      <c r="C214" s="6">
        <v>46076</v>
      </c>
      <c r="D214" s="11" t="s">
        <v>9</v>
      </c>
      <c r="E214" s="16" t="s">
        <v>114</v>
      </c>
      <c r="F214" s="13" t="s">
        <v>873</v>
      </c>
      <c r="G214" s="147">
        <v>2</v>
      </c>
      <c r="H214" s="9"/>
      <c r="I214" s="10">
        <v>900000</v>
      </c>
    </row>
    <row r="215" spans="1:13" ht="15.75" x14ac:dyDescent="0.25">
      <c r="A215" s="4">
        <v>213</v>
      </c>
      <c r="B215" s="5" t="s">
        <v>880</v>
      </c>
      <c r="C215" s="6">
        <v>46076</v>
      </c>
      <c r="D215" s="11" t="s">
        <v>9</v>
      </c>
      <c r="E215" s="16" t="s">
        <v>43</v>
      </c>
      <c r="F215" s="13" t="s">
        <v>879</v>
      </c>
      <c r="G215" s="147">
        <v>2</v>
      </c>
      <c r="H215" s="9" t="s">
        <v>17</v>
      </c>
      <c r="I215" s="10">
        <v>1040000</v>
      </c>
      <c r="M215" t="s">
        <v>889</v>
      </c>
    </row>
    <row r="216" spans="1:13" ht="15.75" x14ac:dyDescent="0.25">
      <c r="A216" s="4">
        <v>214</v>
      </c>
      <c r="B216" s="5" t="s">
        <v>881</v>
      </c>
      <c r="C216" s="6">
        <v>46076</v>
      </c>
      <c r="D216" s="11" t="s">
        <v>15</v>
      </c>
      <c r="E216" s="16" t="s">
        <v>455</v>
      </c>
      <c r="F216" s="13" t="s">
        <v>882</v>
      </c>
      <c r="G216" s="147">
        <v>2</v>
      </c>
      <c r="H216" s="9" t="s">
        <v>886</v>
      </c>
      <c r="I216" s="10">
        <v>4000000</v>
      </c>
    </row>
    <row r="217" spans="1:13" ht="15.75" x14ac:dyDescent="0.25">
      <c r="A217" s="4">
        <v>215</v>
      </c>
      <c r="B217" s="5" t="s">
        <v>883</v>
      </c>
      <c r="C217" s="6">
        <v>46077</v>
      </c>
      <c r="D217" s="11" t="s">
        <v>23</v>
      </c>
      <c r="E217" s="16" t="s">
        <v>105</v>
      </c>
      <c r="F217" s="13" t="s">
        <v>168</v>
      </c>
      <c r="G217" s="147">
        <v>2</v>
      </c>
      <c r="H217" s="9"/>
      <c r="I217" s="10">
        <v>500000</v>
      </c>
    </row>
    <row r="218" spans="1:13" ht="15.75" x14ac:dyDescent="0.25">
      <c r="A218" s="4">
        <v>216</v>
      </c>
      <c r="B218" s="5" t="s">
        <v>885</v>
      </c>
      <c r="C218" s="6">
        <v>46077</v>
      </c>
      <c r="D218" s="11" t="s">
        <v>21</v>
      </c>
      <c r="E218" s="16" t="s">
        <v>870</v>
      </c>
      <c r="F218" s="13" t="s">
        <v>884</v>
      </c>
      <c r="G218" s="147">
        <v>2</v>
      </c>
      <c r="H218" s="9"/>
      <c r="I218" s="10">
        <v>10000000</v>
      </c>
    </row>
    <row r="219" spans="1:13" ht="15.75" x14ac:dyDescent="0.25">
      <c r="A219" s="4">
        <v>217</v>
      </c>
      <c r="B219" s="5" t="s">
        <v>888</v>
      </c>
      <c r="C219" s="6">
        <v>46078</v>
      </c>
      <c r="D219" s="11" t="s">
        <v>9</v>
      </c>
      <c r="E219" s="16" t="s">
        <v>829</v>
      </c>
      <c r="F219" s="13" t="s">
        <v>894</v>
      </c>
      <c r="G219" s="147">
        <v>2</v>
      </c>
      <c r="H219" s="9"/>
      <c r="I219" s="10">
        <v>1750000</v>
      </c>
    </row>
    <row r="220" spans="1:13" ht="15.75" x14ac:dyDescent="0.25">
      <c r="A220" s="4">
        <v>218</v>
      </c>
      <c r="B220" s="5" t="s">
        <v>890</v>
      </c>
      <c r="C220" s="6">
        <v>46078</v>
      </c>
      <c r="D220" s="11" t="s">
        <v>15</v>
      </c>
      <c r="E220" s="16" t="s">
        <v>891</v>
      </c>
      <c r="F220" s="13" t="s">
        <v>892</v>
      </c>
      <c r="G220" s="147">
        <v>2</v>
      </c>
      <c r="H220" s="9" t="s">
        <v>886</v>
      </c>
      <c r="I220" s="10">
        <v>5000000</v>
      </c>
    </row>
    <row r="221" spans="1:13" x14ac:dyDescent="0.25">
      <c r="A221" s="4">
        <v>219</v>
      </c>
      <c r="B221" s="5" t="s">
        <v>893</v>
      </c>
      <c r="C221" s="6">
        <v>46078</v>
      </c>
      <c r="D221" s="11" t="s">
        <v>9</v>
      </c>
      <c r="E221" s="8" t="s">
        <v>89</v>
      </c>
      <c r="F221" s="101" t="s">
        <v>90</v>
      </c>
      <c r="G221" s="147">
        <v>2</v>
      </c>
      <c r="H221" s="9"/>
      <c r="I221" s="10">
        <v>1750000</v>
      </c>
    </row>
    <row r="222" spans="1:13" ht="15.75" x14ac:dyDescent="0.25">
      <c r="A222" s="4">
        <v>220</v>
      </c>
      <c r="B222" s="5" t="s">
        <v>895</v>
      </c>
      <c r="C222" s="6">
        <v>46079</v>
      </c>
      <c r="D222" s="11" t="s">
        <v>15</v>
      </c>
      <c r="E222" s="16" t="s">
        <v>896</v>
      </c>
      <c r="F222" s="13" t="s">
        <v>897</v>
      </c>
      <c r="G222" s="147">
        <v>2</v>
      </c>
      <c r="H222" s="9" t="s">
        <v>886</v>
      </c>
      <c r="I222" s="10">
        <v>7000000</v>
      </c>
    </row>
    <row r="223" spans="1:13" ht="15.75" x14ac:dyDescent="0.25">
      <c r="A223" s="4">
        <v>221</v>
      </c>
      <c r="B223" s="5" t="s">
        <v>905</v>
      </c>
      <c r="C223" s="6">
        <v>46081</v>
      </c>
      <c r="D223" s="11" t="s">
        <v>15</v>
      </c>
      <c r="E223" s="16" t="s">
        <v>904</v>
      </c>
      <c r="F223" s="13" t="s">
        <v>908</v>
      </c>
      <c r="G223" s="147">
        <v>2</v>
      </c>
      <c r="H223" s="9" t="s">
        <v>799</v>
      </c>
      <c r="I223" s="10">
        <v>110000000</v>
      </c>
    </row>
    <row r="224" spans="1:13" ht="15.75" x14ac:dyDescent="0.25">
      <c r="A224" s="4">
        <v>222</v>
      </c>
      <c r="B224" s="5" t="s">
        <v>906</v>
      </c>
      <c r="C224" s="6">
        <v>46081</v>
      </c>
      <c r="D224" s="11" t="s">
        <v>15</v>
      </c>
      <c r="E224" s="16" t="s">
        <v>903</v>
      </c>
      <c r="F224" s="13" t="s">
        <v>910</v>
      </c>
      <c r="G224" s="147">
        <v>2</v>
      </c>
      <c r="H224" s="9" t="s">
        <v>799</v>
      </c>
      <c r="I224" s="10">
        <v>110000000</v>
      </c>
    </row>
    <row r="225" spans="1:21" ht="15.75" x14ac:dyDescent="0.25">
      <c r="A225" s="4">
        <v>223</v>
      </c>
      <c r="B225" s="5" t="s">
        <v>907</v>
      </c>
      <c r="C225" s="6">
        <v>46081</v>
      </c>
      <c r="D225" s="11" t="s">
        <v>15</v>
      </c>
      <c r="E225" s="16" t="s">
        <v>904</v>
      </c>
      <c r="F225" s="13" t="s">
        <v>909</v>
      </c>
      <c r="G225" s="147">
        <v>2</v>
      </c>
      <c r="H225" s="9" t="s">
        <v>799</v>
      </c>
      <c r="I225" s="10">
        <v>110000000</v>
      </c>
    </row>
    <row r="226" spans="1:21" ht="15.75" x14ac:dyDescent="0.25">
      <c r="A226" s="4">
        <v>224</v>
      </c>
      <c r="B226" s="5" t="s">
        <v>912</v>
      </c>
      <c r="C226" s="6">
        <v>46081</v>
      </c>
      <c r="D226" s="11" t="s">
        <v>9</v>
      </c>
      <c r="E226" s="16" t="s">
        <v>114</v>
      </c>
      <c r="F226" s="13" t="s">
        <v>914</v>
      </c>
      <c r="G226" s="147">
        <v>2</v>
      </c>
      <c r="H226" s="9"/>
      <c r="I226" s="10">
        <v>900000</v>
      </c>
    </row>
    <row r="227" spans="1:21" ht="15.75" x14ac:dyDescent="0.25">
      <c r="A227" s="4">
        <v>225</v>
      </c>
      <c r="B227" s="5" t="s">
        <v>913</v>
      </c>
      <c r="C227" s="6">
        <v>46081</v>
      </c>
      <c r="D227" s="11" t="s">
        <v>9</v>
      </c>
      <c r="E227" s="16" t="s">
        <v>704</v>
      </c>
      <c r="F227" s="13" t="s">
        <v>915</v>
      </c>
      <c r="G227" s="147">
        <v>2</v>
      </c>
      <c r="H227" s="9"/>
      <c r="I227" s="10">
        <v>500000</v>
      </c>
    </row>
    <row r="228" spans="1:21" ht="15.75" x14ac:dyDescent="0.25">
      <c r="A228" s="4">
        <v>226</v>
      </c>
      <c r="B228" s="5" t="s">
        <v>917</v>
      </c>
      <c r="C228" s="6">
        <v>46081</v>
      </c>
      <c r="D228" s="11" t="s">
        <v>9</v>
      </c>
      <c r="E228" s="16" t="s">
        <v>13</v>
      </c>
      <c r="F228" s="13" t="s">
        <v>916</v>
      </c>
      <c r="G228" s="147">
        <v>2</v>
      </c>
      <c r="H228" s="9"/>
      <c r="I228" s="10">
        <v>1000000</v>
      </c>
    </row>
    <row r="229" spans="1:21" ht="15.75" x14ac:dyDescent="0.25">
      <c r="A229" s="4">
        <v>227</v>
      </c>
      <c r="B229" s="5" t="s">
        <v>918</v>
      </c>
      <c r="C229" s="6">
        <v>46081</v>
      </c>
      <c r="D229" s="11" t="s">
        <v>21</v>
      </c>
      <c r="E229" s="16" t="s">
        <v>920</v>
      </c>
      <c r="F229" s="13" t="s">
        <v>922</v>
      </c>
      <c r="G229" s="147">
        <v>2</v>
      </c>
      <c r="H229" s="9"/>
      <c r="I229" s="10">
        <v>1000000</v>
      </c>
    </row>
    <row r="230" spans="1:21" ht="15.75" x14ac:dyDescent="0.25">
      <c r="A230" s="4">
        <v>228</v>
      </c>
      <c r="B230" s="5" t="s">
        <v>919</v>
      </c>
      <c r="C230" s="6">
        <v>46081</v>
      </c>
      <c r="D230" s="11" t="s">
        <v>21</v>
      </c>
      <c r="E230" s="16" t="s">
        <v>921</v>
      </c>
      <c r="F230" s="13" t="s">
        <v>923</v>
      </c>
      <c r="G230" s="147">
        <v>2</v>
      </c>
      <c r="H230" s="9"/>
      <c r="I230" s="10">
        <v>1000000</v>
      </c>
    </row>
    <row r="231" spans="1:21" ht="15.75" x14ac:dyDescent="0.25">
      <c r="A231" s="4">
        <v>229</v>
      </c>
      <c r="B231" s="5" t="s">
        <v>924</v>
      </c>
      <c r="C231" s="6">
        <v>46081</v>
      </c>
      <c r="D231" s="11" t="s">
        <v>21</v>
      </c>
      <c r="E231" s="16" t="s">
        <v>102</v>
      </c>
      <c r="F231" s="13" t="s">
        <v>103</v>
      </c>
      <c r="G231" s="147">
        <v>2</v>
      </c>
      <c r="H231" s="9"/>
      <c r="I231" s="10">
        <v>26000</v>
      </c>
    </row>
    <row r="232" spans="1:21" ht="15.75" x14ac:dyDescent="0.25">
      <c r="A232" s="4">
        <v>230</v>
      </c>
      <c r="B232" s="5" t="s">
        <v>925</v>
      </c>
      <c r="C232" s="6">
        <v>46081</v>
      </c>
      <c r="D232" s="11" t="s">
        <v>9</v>
      </c>
      <c r="E232" s="16" t="s">
        <v>607</v>
      </c>
      <c r="F232" s="13" t="s">
        <v>926</v>
      </c>
      <c r="G232" s="147">
        <v>2</v>
      </c>
      <c r="H232" s="9"/>
      <c r="I232" s="10">
        <v>200000</v>
      </c>
    </row>
    <row r="233" spans="1:21" ht="15.75" x14ac:dyDescent="0.25">
      <c r="A233" s="4">
        <v>231</v>
      </c>
      <c r="B233" s="5" t="s">
        <v>928</v>
      </c>
      <c r="C233" s="6">
        <v>46081</v>
      </c>
      <c r="D233" s="11" t="s">
        <v>9</v>
      </c>
      <c r="E233" s="16" t="s">
        <v>927</v>
      </c>
      <c r="F233" s="13" t="s">
        <v>929</v>
      </c>
      <c r="G233" s="147">
        <v>2</v>
      </c>
      <c r="H233" s="9"/>
      <c r="I233" s="10">
        <v>780000</v>
      </c>
    </row>
    <row r="234" spans="1:21" ht="15.75" x14ac:dyDescent="0.25">
      <c r="A234" s="4">
        <v>232</v>
      </c>
      <c r="B234" s="5" t="s">
        <v>930</v>
      </c>
      <c r="C234" s="6">
        <v>46081</v>
      </c>
      <c r="D234" s="11" t="s">
        <v>9</v>
      </c>
      <c r="E234" s="16" t="s">
        <v>83</v>
      </c>
      <c r="F234" s="13" t="s">
        <v>828</v>
      </c>
      <c r="G234" s="147">
        <v>2</v>
      </c>
      <c r="H234" s="9"/>
      <c r="I234" s="10">
        <v>1560000</v>
      </c>
    </row>
    <row r="235" spans="1:21" ht="15.75" x14ac:dyDescent="0.25">
      <c r="A235" s="4">
        <v>233</v>
      </c>
      <c r="B235" s="48" t="s">
        <v>935</v>
      </c>
      <c r="C235" s="6">
        <v>46081</v>
      </c>
      <c r="D235" s="11" t="s">
        <v>26</v>
      </c>
      <c r="E235" s="164" t="s">
        <v>323</v>
      </c>
      <c r="F235" s="13" t="s">
        <v>991</v>
      </c>
      <c r="G235" s="147">
        <v>2</v>
      </c>
      <c r="H235" s="9" t="s">
        <v>886</v>
      </c>
      <c r="I235" s="10">
        <v>40000000</v>
      </c>
    </row>
    <row r="236" spans="1:21" ht="15.75" x14ac:dyDescent="0.25">
      <c r="A236" s="4">
        <v>234</v>
      </c>
      <c r="B236" s="48" t="s">
        <v>936</v>
      </c>
      <c r="C236" s="6">
        <v>46081</v>
      </c>
      <c r="D236" s="11" t="s">
        <v>26</v>
      </c>
      <c r="E236" s="164" t="s">
        <v>323</v>
      </c>
      <c r="F236" s="13" t="s">
        <v>991</v>
      </c>
      <c r="G236" s="147">
        <v>2</v>
      </c>
      <c r="H236" s="9" t="s">
        <v>886</v>
      </c>
      <c r="I236" s="10">
        <v>13397500</v>
      </c>
    </row>
    <row r="237" spans="1:21" ht="15.75" x14ac:dyDescent="0.25">
      <c r="A237" s="4">
        <v>235</v>
      </c>
      <c r="B237" s="5" t="s">
        <v>934</v>
      </c>
      <c r="C237" s="6">
        <v>46082</v>
      </c>
      <c r="D237" s="11" t="s">
        <v>15</v>
      </c>
      <c r="E237" s="16" t="s">
        <v>71</v>
      </c>
      <c r="F237" s="13" t="s">
        <v>72</v>
      </c>
      <c r="G237" s="147">
        <v>3</v>
      </c>
      <c r="H237" s="9" t="s">
        <v>886</v>
      </c>
      <c r="I237" s="10">
        <v>2000000</v>
      </c>
      <c r="S237" s="142"/>
      <c r="T237" s="142"/>
      <c r="U237" s="142"/>
    </row>
    <row r="238" spans="1:21" ht="15.75" x14ac:dyDescent="0.25">
      <c r="A238" s="4">
        <v>236</v>
      </c>
      <c r="B238" s="168" t="s">
        <v>937</v>
      </c>
      <c r="C238" s="6">
        <v>46082</v>
      </c>
      <c r="D238" s="11" t="s">
        <v>23</v>
      </c>
      <c r="E238" s="16" t="s">
        <v>105</v>
      </c>
      <c r="F238" s="13" t="s">
        <v>932</v>
      </c>
      <c r="G238" s="147">
        <v>3</v>
      </c>
      <c r="H238" s="9"/>
      <c r="I238" s="10">
        <v>1482000</v>
      </c>
      <c r="S238" s="142"/>
      <c r="T238" s="142"/>
      <c r="U238" s="142"/>
    </row>
    <row r="239" spans="1:21" x14ac:dyDescent="0.25">
      <c r="A239" s="4">
        <v>237</v>
      </c>
      <c r="B239" s="168" t="s">
        <v>938</v>
      </c>
      <c r="C239" s="6">
        <v>46082</v>
      </c>
      <c r="D239" s="11" t="s">
        <v>9</v>
      </c>
      <c r="E239" s="16" t="s">
        <v>595</v>
      </c>
      <c r="F239" s="16" t="s">
        <v>933</v>
      </c>
      <c r="G239" s="147">
        <v>3</v>
      </c>
      <c r="H239" s="9"/>
      <c r="I239" s="10">
        <v>2450000</v>
      </c>
      <c r="S239" s="142"/>
      <c r="T239" s="142"/>
      <c r="U239" s="142"/>
    </row>
    <row r="240" spans="1:21" ht="15.75" x14ac:dyDescent="0.25">
      <c r="A240" s="4">
        <v>238</v>
      </c>
      <c r="B240" s="168" t="s">
        <v>939</v>
      </c>
      <c r="C240" s="6">
        <v>46082</v>
      </c>
      <c r="D240" s="11" t="s">
        <v>9</v>
      </c>
      <c r="E240" s="16" t="s">
        <v>13</v>
      </c>
      <c r="F240" s="13" t="s">
        <v>940</v>
      </c>
      <c r="G240" s="147">
        <v>3</v>
      </c>
      <c r="H240" s="9"/>
      <c r="I240" s="10">
        <v>1000000</v>
      </c>
      <c r="S240" s="142"/>
      <c r="T240" s="142"/>
      <c r="U240" s="142"/>
    </row>
    <row r="241" spans="1:21" ht="15.75" x14ac:dyDescent="0.25">
      <c r="A241" s="4">
        <v>239</v>
      </c>
      <c r="B241" s="5" t="s">
        <v>943</v>
      </c>
      <c r="C241" s="6">
        <v>46082</v>
      </c>
      <c r="D241" s="11" t="s">
        <v>15</v>
      </c>
      <c r="E241" s="16" t="s">
        <v>393</v>
      </c>
      <c r="F241" s="13" t="s">
        <v>942</v>
      </c>
      <c r="G241" s="147">
        <v>3</v>
      </c>
      <c r="H241" s="9" t="s">
        <v>886</v>
      </c>
      <c r="I241" s="10">
        <v>4000000</v>
      </c>
      <c r="S241" s="142"/>
      <c r="T241" s="142"/>
      <c r="U241" s="142"/>
    </row>
    <row r="242" spans="1:21" ht="15.75" x14ac:dyDescent="0.25">
      <c r="A242" s="4">
        <v>240</v>
      </c>
      <c r="B242" s="168" t="s">
        <v>947</v>
      </c>
      <c r="C242" s="6">
        <v>46083</v>
      </c>
      <c r="D242" s="11" t="s">
        <v>15</v>
      </c>
      <c r="E242" s="16" t="s">
        <v>77</v>
      </c>
      <c r="F242" s="13" t="s">
        <v>78</v>
      </c>
      <c r="G242" s="147">
        <v>3</v>
      </c>
      <c r="H242" s="9" t="s">
        <v>886</v>
      </c>
      <c r="I242" s="10">
        <v>2000000</v>
      </c>
      <c r="S242" s="142"/>
      <c r="T242" s="142"/>
      <c r="U242" s="142"/>
    </row>
    <row r="243" spans="1:21" ht="15.75" x14ac:dyDescent="0.25">
      <c r="A243" s="4">
        <v>241</v>
      </c>
      <c r="B243" s="5" t="s">
        <v>948</v>
      </c>
      <c r="C243" s="6">
        <v>46083</v>
      </c>
      <c r="D243" s="11" t="s">
        <v>15</v>
      </c>
      <c r="E243" s="16" t="s">
        <v>48</v>
      </c>
      <c r="F243" s="13" t="s">
        <v>49</v>
      </c>
      <c r="G243" s="147">
        <v>3</v>
      </c>
      <c r="H243" s="9" t="s">
        <v>886</v>
      </c>
      <c r="I243" s="10">
        <v>2000000</v>
      </c>
      <c r="S243" s="142"/>
      <c r="T243" s="142"/>
      <c r="U243" s="142"/>
    </row>
    <row r="244" spans="1:21" ht="15.75" x14ac:dyDescent="0.25">
      <c r="A244" s="4">
        <v>242</v>
      </c>
      <c r="B244" s="168" t="s">
        <v>946</v>
      </c>
      <c r="C244" s="6">
        <v>46083</v>
      </c>
      <c r="D244" s="11" t="s">
        <v>23</v>
      </c>
      <c r="E244" s="16" t="s">
        <v>105</v>
      </c>
      <c r="F244" s="13" t="s">
        <v>168</v>
      </c>
      <c r="G244" s="147">
        <v>3</v>
      </c>
      <c r="H244" s="9"/>
      <c r="I244" s="10">
        <v>400000</v>
      </c>
      <c r="S244" s="142"/>
      <c r="T244" s="142"/>
      <c r="U244" s="142"/>
    </row>
    <row r="245" spans="1:21" ht="15.75" x14ac:dyDescent="0.25">
      <c r="A245" s="4">
        <v>243</v>
      </c>
      <c r="B245" s="168" t="s">
        <v>949</v>
      </c>
      <c r="C245" s="6">
        <v>46084</v>
      </c>
      <c r="D245" s="11" t="s">
        <v>9</v>
      </c>
      <c r="E245" s="16" t="s">
        <v>1408</v>
      </c>
      <c r="F245" s="13" t="s">
        <v>951</v>
      </c>
      <c r="G245" s="147">
        <v>3</v>
      </c>
      <c r="H245" s="9"/>
      <c r="I245" s="10">
        <v>790000</v>
      </c>
    </row>
    <row r="246" spans="1:21" ht="15.75" x14ac:dyDescent="0.25">
      <c r="A246" s="4">
        <v>244</v>
      </c>
      <c r="B246" s="168" t="s">
        <v>950</v>
      </c>
      <c r="C246" s="6">
        <v>46084</v>
      </c>
      <c r="D246" s="11" t="s">
        <v>23</v>
      </c>
      <c r="E246" s="16" t="s">
        <v>105</v>
      </c>
      <c r="F246" s="166" t="s">
        <v>952</v>
      </c>
      <c r="G246" s="147">
        <v>3</v>
      </c>
      <c r="H246" s="9"/>
      <c r="I246" s="10">
        <v>330000</v>
      </c>
    </row>
    <row r="247" spans="1:21" ht="15.75" x14ac:dyDescent="0.25">
      <c r="A247" s="4">
        <v>245</v>
      </c>
      <c r="B247" s="168" t="s">
        <v>953</v>
      </c>
      <c r="C247" s="6">
        <v>46084</v>
      </c>
      <c r="D247" s="11" t="s">
        <v>9</v>
      </c>
      <c r="E247" s="16" t="s">
        <v>97</v>
      </c>
      <c r="F247" s="166" t="s">
        <v>954</v>
      </c>
      <c r="G247" s="147">
        <v>3</v>
      </c>
      <c r="H247" s="9"/>
      <c r="I247" s="10">
        <v>476000</v>
      </c>
    </row>
    <row r="248" spans="1:21" ht="15.75" x14ac:dyDescent="0.25">
      <c r="A248" s="4">
        <v>246</v>
      </c>
      <c r="B248" s="5" t="s">
        <v>957</v>
      </c>
      <c r="C248" s="6">
        <v>46086</v>
      </c>
      <c r="D248" s="11" t="s">
        <v>15</v>
      </c>
      <c r="E248" s="16" t="s">
        <v>199</v>
      </c>
      <c r="F248" s="13" t="s">
        <v>200</v>
      </c>
      <c r="G248" s="147">
        <v>3</v>
      </c>
      <c r="H248" s="9" t="s">
        <v>886</v>
      </c>
      <c r="I248" s="10">
        <v>2000000</v>
      </c>
    </row>
    <row r="249" spans="1:21" ht="15.75" x14ac:dyDescent="0.25">
      <c r="A249" s="4">
        <v>247</v>
      </c>
      <c r="B249" s="5" t="s">
        <v>958</v>
      </c>
      <c r="C249" s="6">
        <v>46086</v>
      </c>
      <c r="D249" s="11" t="s">
        <v>9</v>
      </c>
      <c r="E249" s="16" t="s">
        <v>114</v>
      </c>
      <c r="F249" s="13" t="s">
        <v>873</v>
      </c>
      <c r="G249" s="147">
        <v>3</v>
      </c>
      <c r="H249" s="9"/>
      <c r="I249" s="10">
        <v>1000000</v>
      </c>
    </row>
    <row r="250" spans="1:21" ht="15.75" x14ac:dyDescent="0.25">
      <c r="A250" s="4">
        <v>248</v>
      </c>
      <c r="B250" s="5" t="s">
        <v>959</v>
      </c>
      <c r="C250" s="6">
        <v>46086</v>
      </c>
      <c r="D250" s="11" t="s">
        <v>23</v>
      </c>
      <c r="E250" s="16" t="s">
        <v>105</v>
      </c>
      <c r="F250" s="166" t="s">
        <v>960</v>
      </c>
      <c r="G250" s="147">
        <v>3</v>
      </c>
      <c r="H250" s="9"/>
      <c r="I250" s="10">
        <v>1000000</v>
      </c>
    </row>
    <row r="251" spans="1:21" ht="15.75" x14ac:dyDescent="0.25">
      <c r="A251" s="4">
        <v>249</v>
      </c>
      <c r="B251" s="5" t="s">
        <v>961</v>
      </c>
      <c r="C251" s="6">
        <v>46086</v>
      </c>
      <c r="D251" s="11" t="s">
        <v>15</v>
      </c>
      <c r="E251" s="16" t="s">
        <v>396</v>
      </c>
      <c r="F251" s="13" t="s">
        <v>965</v>
      </c>
      <c r="G251" s="147">
        <v>3</v>
      </c>
      <c r="H251" s="9" t="s">
        <v>799</v>
      </c>
      <c r="I251" s="10">
        <v>41000000</v>
      </c>
    </row>
    <row r="252" spans="1:21" ht="15.75" x14ac:dyDescent="0.25">
      <c r="A252" s="4">
        <v>250</v>
      </c>
      <c r="B252" s="5" t="s">
        <v>962</v>
      </c>
      <c r="C252" s="6">
        <v>46086</v>
      </c>
      <c r="D252" s="11" t="s">
        <v>15</v>
      </c>
      <c r="E252" s="16" t="s">
        <v>396</v>
      </c>
      <c r="F252" s="13" t="s">
        <v>964</v>
      </c>
      <c r="G252" s="147">
        <v>3</v>
      </c>
      <c r="H252" s="9" t="s">
        <v>799</v>
      </c>
      <c r="I252" s="10">
        <v>41000000</v>
      </c>
    </row>
    <row r="253" spans="1:21" ht="15.75" x14ac:dyDescent="0.25">
      <c r="A253" s="4">
        <v>251</v>
      </c>
      <c r="B253" s="5" t="s">
        <v>963</v>
      </c>
      <c r="C253" s="6">
        <v>46086</v>
      </c>
      <c r="D253" s="11" t="s">
        <v>15</v>
      </c>
      <c r="E253" s="16" t="s">
        <v>506</v>
      </c>
      <c r="F253" s="13" t="s">
        <v>966</v>
      </c>
      <c r="G253" s="147">
        <v>3</v>
      </c>
      <c r="H253" s="9" t="s">
        <v>799</v>
      </c>
      <c r="I253" s="10">
        <v>20000000</v>
      </c>
    </row>
    <row r="254" spans="1:21" ht="15.75" x14ac:dyDescent="0.25">
      <c r="A254" s="4">
        <v>252</v>
      </c>
      <c r="B254" s="5" t="s">
        <v>971</v>
      </c>
      <c r="C254" s="6">
        <v>46093</v>
      </c>
      <c r="D254" s="11" t="s">
        <v>26</v>
      </c>
      <c r="E254" s="16" t="s">
        <v>105</v>
      </c>
      <c r="F254" s="166" t="s">
        <v>969</v>
      </c>
      <c r="G254" s="147">
        <v>3</v>
      </c>
      <c r="H254" s="9" t="s">
        <v>886</v>
      </c>
      <c r="I254" s="10">
        <v>5500000</v>
      </c>
    </row>
    <row r="255" spans="1:21" ht="15.75" x14ac:dyDescent="0.25">
      <c r="A255" s="4">
        <v>253</v>
      </c>
      <c r="B255" s="5" t="s">
        <v>973</v>
      </c>
      <c r="C255" s="6">
        <v>46093</v>
      </c>
      <c r="D255" s="11" t="s">
        <v>21</v>
      </c>
      <c r="E255" s="16" t="s">
        <v>970</v>
      </c>
      <c r="F255" s="166" t="s">
        <v>100</v>
      </c>
      <c r="G255" s="147">
        <v>3</v>
      </c>
      <c r="H255" s="9"/>
      <c r="I255" s="10">
        <v>2500000</v>
      </c>
    </row>
    <row r="256" spans="1:21" ht="15.75" x14ac:dyDescent="0.25">
      <c r="A256" s="4">
        <v>254</v>
      </c>
      <c r="B256" s="5" t="s">
        <v>972</v>
      </c>
      <c r="C256" s="6">
        <v>46093</v>
      </c>
      <c r="D256" s="11" t="s">
        <v>21</v>
      </c>
      <c r="E256" s="16" t="s">
        <v>102</v>
      </c>
      <c r="F256" s="13" t="s">
        <v>103</v>
      </c>
      <c r="G256" s="147">
        <v>3</v>
      </c>
      <c r="H256" s="9"/>
      <c r="I256" s="10">
        <v>26000</v>
      </c>
    </row>
    <row r="257" spans="1:9" ht="15.75" x14ac:dyDescent="0.25">
      <c r="A257" s="4">
        <v>255</v>
      </c>
      <c r="B257" s="5" t="s">
        <v>974</v>
      </c>
      <c r="C257" s="6">
        <v>46093</v>
      </c>
      <c r="D257" s="11" t="s">
        <v>9</v>
      </c>
      <c r="E257" s="16" t="s">
        <v>86</v>
      </c>
      <c r="F257" s="13" t="s">
        <v>977</v>
      </c>
      <c r="G257" s="147">
        <v>3</v>
      </c>
      <c r="H257" s="9"/>
      <c r="I257" s="10">
        <v>350000</v>
      </c>
    </row>
    <row r="258" spans="1:9" ht="15.75" x14ac:dyDescent="0.25">
      <c r="A258" s="4">
        <v>256</v>
      </c>
      <c r="B258" s="5" t="s">
        <v>975</v>
      </c>
      <c r="C258" s="6">
        <v>46093</v>
      </c>
      <c r="D258" s="11" t="s">
        <v>9</v>
      </c>
      <c r="E258" s="16" t="s">
        <v>83</v>
      </c>
      <c r="F258" s="13" t="s">
        <v>828</v>
      </c>
      <c r="G258" s="147">
        <v>3</v>
      </c>
      <c r="H258" s="9"/>
      <c r="I258" s="10">
        <v>850000</v>
      </c>
    </row>
    <row r="259" spans="1:9" ht="15.75" x14ac:dyDescent="0.25">
      <c r="A259" s="4">
        <v>257</v>
      </c>
      <c r="B259" s="5" t="s">
        <v>976</v>
      </c>
      <c r="C259" s="6">
        <v>46093</v>
      </c>
      <c r="D259" s="11" t="s">
        <v>9</v>
      </c>
      <c r="E259" s="16" t="s">
        <v>1200</v>
      </c>
      <c r="F259" s="13" t="s">
        <v>978</v>
      </c>
      <c r="G259" s="147">
        <v>3</v>
      </c>
      <c r="H259" s="9"/>
      <c r="I259" s="10">
        <v>800000</v>
      </c>
    </row>
    <row r="260" spans="1:9" ht="15.75" x14ac:dyDescent="0.25">
      <c r="A260" s="4">
        <v>258</v>
      </c>
      <c r="B260" s="5" t="s">
        <v>980</v>
      </c>
      <c r="C260" s="6">
        <v>46095</v>
      </c>
      <c r="D260" s="11" t="s">
        <v>15</v>
      </c>
      <c r="E260" s="16" t="s">
        <v>381</v>
      </c>
      <c r="F260" s="13" t="s">
        <v>981</v>
      </c>
      <c r="G260" s="147">
        <v>3</v>
      </c>
      <c r="H260" s="9" t="s">
        <v>886</v>
      </c>
      <c r="I260" s="10">
        <v>1500000</v>
      </c>
    </row>
    <row r="261" spans="1:9" ht="15.75" x14ac:dyDescent="0.25">
      <c r="A261" s="4">
        <v>259</v>
      </c>
      <c r="B261" s="5" t="s">
        <v>982</v>
      </c>
      <c r="C261" s="6">
        <v>46095</v>
      </c>
      <c r="D261" s="11" t="s">
        <v>21</v>
      </c>
      <c r="E261" s="16" t="s">
        <v>644</v>
      </c>
      <c r="F261" s="13" t="s">
        <v>983</v>
      </c>
      <c r="G261" s="147">
        <v>3</v>
      </c>
      <c r="H261" s="9"/>
      <c r="I261" s="10">
        <v>200000</v>
      </c>
    </row>
    <row r="262" spans="1:9" x14ac:dyDescent="0.25">
      <c r="A262" s="4">
        <v>260</v>
      </c>
      <c r="B262" s="5" t="s">
        <v>984</v>
      </c>
      <c r="C262" s="6">
        <v>46095</v>
      </c>
      <c r="D262" s="11" t="s">
        <v>21</v>
      </c>
      <c r="E262" s="16" t="s">
        <v>102</v>
      </c>
      <c r="F262" s="16" t="s">
        <v>985</v>
      </c>
      <c r="G262" s="147">
        <v>3</v>
      </c>
      <c r="H262" s="9"/>
      <c r="I262" s="10">
        <v>30000</v>
      </c>
    </row>
    <row r="263" spans="1:9" ht="15.75" x14ac:dyDescent="0.25">
      <c r="A263" s="4">
        <v>261</v>
      </c>
      <c r="B263" s="5" t="s">
        <v>986</v>
      </c>
      <c r="C263" s="6">
        <v>46097</v>
      </c>
      <c r="D263" s="11" t="s">
        <v>15</v>
      </c>
      <c r="E263" s="16" t="s">
        <v>988</v>
      </c>
      <c r="F263" s="13" t="s">
        <v>811</v>
      </c>
      <c r="G263" s="147">
        <v>3</v>
      </c>
      <c r="H263" s="9" t="s">
        <v>886</v>
      </c>
      <c r="I263" s="10">
        <v>3000000</v>
      </c>
    </row>
    <row r="264" spans="1:9" x14ac:dyDescent="0.25">
      <c r="A264" s="4">
        <v>262</v>
      </c>
      <c r="B264" s="5" t="s">
        <v>987</v>
      </c>
      <c r="C264" s="6">
        <v>46097</v>
      </c>
      <c r="D264" s="11" t="s">
        <v>21</v>
      </c>
      <c r="E264" s="16" t="s">
        <v>989</v>
      </c>
      <c r="F264" s="16" t="s">
        <v>990</v>
      </c>
      <c r="G264" s="147">
        <v>3</v>
      </c>
      <c r="H264" s="9"/>
      <c r="I264" s="10">
        <v>220000</v>
      </c>
    </row>
    <row r="265" spans="1:9" x14ac:dyDescent="0.25">
      <c r="A265" s="4">
        <v>263</v>
      </c>
      <c r="B265" s="5" t="s">
        <v>992</v>
      </c>
      <c r="C265" s="6">
        <v>46097</v>
      </c>
      <c r="D265" s="11" t="s">
        <v>23</v>
      </c>
      <c r="E265" s="16" t="s">
        <v>989</v>
      </c>
      <c r="F265" s="16" t="s">
        <v>993</v>
      </c>
      <c r="G265" s="147">
        <v>3</v>
      </c>
      <c r="H265" s="9"/>
      <c r="I265" s="10">
        <v>500000</v>
      </c>
    </row>
    <row r="266" spans="1:9" x14ac:dyDescent="0.25">
      <c r="A266" s="4">
        <v>264</v>
      </c>
      <c r="B266" s="5" t="s">
        <v>994</v>
      </c>
      <c r="C266" s="6">
        <v>46106</v>
      </c>
      <c r="D266" s="11" t="s">
        <v>21</v>
      </c>
      <c r="E266" s="16" t="s">
        <v>102</v>
      </c>
      <c r="F266" s="16" t="s">
        <v>103</v>
      </c>
      <c r="G266" s="147">
        <v>3</v>
      </c>
      <c r="H266" s="9"/>
      <c r="I266" s="10">
        <v>41500</v>
      </c>
    </row>
    <row r="267" spans="1:9" x14ac:dyDescent="0.25">
      <c r="A267" s="4">
        <v>265</v>
      </c>
      <c r="B267" s="5" t="s">
        <v>995</v>
      </c>
      <c r="C267" s="6">
        <v>46106</v>
      </c>
      <c r="D267" s="11" t="s">
        <v>21</v>
      </c>
      <c r="E267" s="16" t="s">
        <v>787</v>
      </c>
      <c r="F267" s="16" t="s">
        <v>998</v>
      </c>
      <c r="G267" s="147">
        <v>3</v>
      </c>
      <c r="H267" s="9"/>
      <c r="I267" s="10">
        <v>500000</v>
      </c>
    </row>
    <row r="268" spans="1:9" x14ac:dyDescent="0.25">
      <c r="A268" s="4">
        <v>266</v>
      </c>
      <c r="B268" s="5" t="s">
        <v>996</v>
      </c>
      <c r="C268" s="6">
        <v>46106</v>
      </c>
      <c r="D268" s="11" t="s">
        <v>9</v>
      </c>
      <c r="E268" s="16" t="s">
        <v>864</v>
      </c>
      <c r="F268" s="16" t="s">
        <v>999</v>
      </c>
      <c r="G268" s="147">
        <v>3</v>
      </c>
      <c r="H268" s="9"/>
      <c r="I268" s="10">
        <v>300000</v>
      </c>
    </row>
    <row r="269" spans="1:9" x14ac:dyDescent="0.25">
      <c r="A269" s="4">
        <v>267</v>
      </c>
      <c r="B269" s="5" t="s">
        <v>997</v>
      </c>
      <c r="C269" s="6">
        <v>46106</v>
      </c>
      <c r="D269" s="11" t="s">
        <v>9</v>
      </c>
      <c r="E269" s="16" t="s">
        <v>10</v>
      </c>
      <c r="F269" s="16" t="s">
        <v>1000</v>
      </c>
      <c r="G269" s="147">
        <v>3</v>
      </c>
      <c r="H269" s="9"/>
      <c r="I269" s="10">
        <v>300000</v>
      </c>
    </row>
    <row r="270" spans="1:9" ht="15.75" x14ac:dyDescent="0.25">
      <c r="A270" s="4">
        <v>268</v>
      </c>
      <c r="B270" s="5" t="s">
        <v>1005</v>
      </c>
      <c r="C270" s="6">
        <v>46109</v>
      </c>
      <c r="D270" s="11" t="s">
        <v>15</v>
      </c>
      <c r="E270" s="16" t="s">
        <v>401</v>
      </c>
      <c r="F270" s="13" t="s">
        <v>810</v>
      </c>
      <c r="G270" s="147">
        <v>3</v>
      </c>
      <c r="H270" s="9" t="s">
        <v>886</v>
      </c>
      <c r="I270" s="10">
        <v>6000000</v>
      </c>
    </row>
    <row r="271" spans="1:9" ht="15.75" x14ac:dyDescent="0.25">
      <c r="A271" s="4">
        <v>269</v>
      </c>
      <c r="B271" s="5" t="s">
        <v>1001</v>
      </c>
      <c r="C271" s="6">
        <v>46109</v>
      </c>
      <c r="D271" s="11" t="s">
        <v>15</v>
      </c>
      <c r="E271" s="16" t="s">
        <v>1003</v>
      </c>
      <c r="F271" s="13" t="s">
        <v>1004</v>
      </c>
      <c r="G271" s="147">
        <v>3</v>
      </c>
      <c r="H271" s="9" t="s">
        <v>886</v>
      </c>
      <c r="I271" s="10">
        <v>5000000</v>
      </c>
    </row>
    <row r="272" spans="1:9" x14ac:dyDescent="0.25">
      <c r="A272" s="4">
        <v>270</v>
      </c>
      <c r="B272" s="5" t="s">
        <v>1002</v>
      </c>
      <c r="C272" s="6">
        <v>46109</v>
      </c>
      <c r="D272" s="11" t="s">
        <v>23</v>
      </c>
      <c r="E272" s="16" t="s">
        <v>105</v>
      </c>
      <c r="F272" s="16" t="s">
        <v>168</v>
      </c>
      <c r="G272" s="147">
        <v>3</v>
      </c>
      <c r="H272" s="9"/>
      <c r="I272" s="10">
        <v>5000000</v>
      </c>
    </row>
    <row r="273" spans="1:9" ht="15.75" x14ac:dyDescent="0.25">
      <c r="A273" s="4">
        <v>271</v>
      </c>
      <c r="B273" s="5" t="s">
        <v>1006</v>
      </c>
      <c r="C273" s="6">
        <v>46109</v>
      </c>
      <c r="D273" s="11" t="s">
        <v>15</v>
      </c>
      <c r="E273" s="16" t="s">
        <v>80</v>
      </c>
      <c r="F273" s="13" t="s">
        <v>81</v>
      </c>
      <c r="G273" s="147">
        <v>3</v>
      </c>
      <c r="H273" s="9" t="s">
        <v>886</v>
      </c>
      <c r="I273" s="10">
        <v>6000000</v>
      </c>
    </row>
    <row r="274" spans="1:9" ht="15.75" x14ac:dyDescent="0.25">
      <c r="A274" s="4">
        <v>272</v>
      </c>
      <c r="B274" s="5" t="s">
        <v>1008</v>
      </c>
      <c r="C274" s="6">
        <v>46110</v>
      </c>
      <c r="D274" s="11" t="s">
        <v>9</v>
      </c>
      <c r="E274" s="16" t="s">
        <v>114</v>
      </c>
      <c r="F274" s="13" t="s">
        <v>1007</v>
      </c>
      <c r="G274" s="147">
        <v>3</v>
      </c>
      <c r="H274" s="9"/>
      <c r="I274" s="10">
        <v>1000000</v>
      </c>
    </row>
    <row r="275" spans="1:9" x14ac:dyDescent="0.25">
      <c r="A275" s="4">
        <v>273</v>
      </c>
      <c r="B275" s="5" t="s">
        <v>1009</v>
      </c>
      <c r="C275" s="6">
        <v>46110</v>
      </c>
      <c r="D275" s="11" t="s">
        <v>9</v>
      </c>
      <c r="E275" s="16" t="s">
        <v>97</v>
      </c>
      <c r="F275" s="16" t="s">
        <v>1012</v>
      </c>
      <c r="G275" s="147">
        <v>3</v>
      </c>
      <c r="H275" s="9" t="s">
        <v>1014</v>
      </c>
      <c r="I275" s="10">
        <v>1310000</v>
      </c>
    </row>
    <row r="276" spans="1:9" x14ac:dyDescent="0.25">
      <c r="A276" s="4">
        <v>274</v>
      </c>
      <c r="B276" s="5" t="s">
        <v>1010</v>
      </c>
      <c r="C276" s="6">
        <v>46110</v>
      </c>
      <c r="D276" s="11" t="s">
        <v>21</v>
      </c>
      <c r="E276" s="16" t="s">
        <v>1011</v>
      </c>
      <c r="F276" s="16" t="s">
        <v>1013</v>
      </c>
      <c r="G276" s="147">
        <v>3</v>
      </c>
      <c r="H276" s="9"/>
      <c r="I276" s="10">
        <v>100000</v>
      </c>
    </row>
    <row r="277" spans="1:9" x14ac:dyDescent="0.25">
      <c r="A277" s="4">
        <v>275</v>
      </c>
      <c r="B277" s="5" t="s">
        <v>1015</v>
      </c>
      <c r="C277" s="6">
        <v>46111</v>
      </c>
      <c r="D277" s="11" t="s">
        <v>9</v>
      </c>
      <c r="E277" s="16" t="s">
        <v>1200</v>
      </c>
      <c r="F277" s="16" t="s">
        <v>1016</v>
      </c>
      <c r="G277" s="147">
        <v>3</v>
      </c>
      <c r="H277" s="9"/>
      <c r="I277" s="10">
        <v>1000000</v>
      </c>
    </row>
    <row r="278" spans="1:9" x14ac:dyDescent="0.25">
      <c r="A278" s="4">
        <v>276</v>
      </c>
      <c r="B278" s="5" t="s">
        <v>1017</v>
      </c>
      <c r="C278" s="6">
        <v>46111</v>
      </c>
      <c r="D278" s="11" t="s">
        <v>9</v>
      </c>
      <c r="E278" s="16" t="s">
        <v>89</v>
      </c>
      <c r="F278" s="16" t="s">
        <v>1019</v>
      </c>
      <c r="G278" s="147">
        <v>3</v>
      </c>
      <c r="H278" s="9"/>
      <c r="I278" s="10">
        <v>1775000</v>
      </c>
    </row>
    <row r="279" spans="1:9" x14ac:dyDescent="0.25">
      <c r="A279" s="4">
        <v>277</v>
      </c>
      <c r="B279" s="5" t="s">
        <v>1018</v>
      </c>
      <c r="C279" s="6">
        <v>46111</v>
      </c>
      <c r="D279" s="11" t="s">
        <v>9</v>
      </c>
      <c r="E279" s="16" t="s">
        <v>1020</v>
      </c>
      <c r="F279" s="16" t="s">
        <v>1021</v>
      </c>
      <c r="G279" s="147">
        <v>3</v>
      </c>
      <c r="H279" s="9"/>
      <c r="I279" s="10">
        <v>1775000</v>
      </c>
    </row>
    <row r="280" spans="1:9" x14ac:dyDescent="0.25">
      <c r="A280" s="4">
        <v>278</v>
      </c>
      <c r="B280" s="5" t="s">
        <v>1022</v>
      </c>
      <c r="C280" s="6">
        <v>46112</v>
      </c>
      <c r="D280" s="11" t="s">
        <v>21</v>
      </c>
      <c r="E280" s="16" t="s">
        <v>1023</v>
      </c>
      <c r="F280" s="16" t="s">
        <v>1024</v>
      </c>
      <c r="G280" s="147">
        <v>3</v>
      </c>
      <c r="H280" s="9"/>
      <c r="I280" s="10">
        <v>150000</v>
      </c>
    </row>
    <row r="281" spans="1:9" x14ac:dyDescent="0.25">
      <c r="A281" s="4">
        <v>279</v>
      </c>
      <c r="B281" s="5" t="s">
        <v>1025</v>
      </c>
      <c r="C281" s="6">
        <v>46112</v>
      </c>
      <c r="D281" s="11" t="s">
        <v>21</v>
      </c>
      <c r="E281" s="16" t="s">
        <v>102</v>
      </c>
      <c r="F281" s="16" t="s">
        <v>103</v>
      </c>
      <c r="G281" s="147">
        <v>3</v>
      </c>
      <c r="H281" s="9"/>
      <c r="I281" s="10">
        <v>50000</v>
      </c>
    </row>
    <row r="282" spans="1:9" x14ac:dyDescent="0.25">
      <c r="A282" s="4">
        <v>280</v>
      </c>
      <c r="B282" s="5" t="s">
        <v>1028</v>
      </c>
      <c r="C282" s="6">
        <v>46112</v>
      </c>
      <c r="D282" s="11" t="s">
        <v>587</v>
      </c>
      <c r="E282" s="16" t="s">
        <v>1026</v>
      </c>
      <c r="F282" s="16" t="s">
        <v>1030</v>
      </c>
      <c r="G282" s="147">
        <v>3</v>
      </c>
      <c r="H282" s="9"/>
      <c r="I282" s="10">
        <v>6100000</v>
      </c>
    </row>
    <row r="283" spans="1:9" x14ac:dyDescent="0.25">
      <c r="A283" s="4">
        <v>281</v>
      </c>
      <c r="B283" s="5" t="s">
        <v>1029</v>
      </c>
      <c r="C283" s="6">
        <v>46112</v>
      </c>
      <c r="D283" s="11" t="s">
        <v>587</v>
      </c>
      <c r="E283" s="16" t="s">
        <v>1027</v>
      </c>
      <c r="F283" s="16" t="s">
        <v>1031</v>
      </c>
      <c r="G283" s="147">
        <v>3</v>
      </c>
      <c r="H283" s="9"/>
      <c r="I283" s="10">
        <v>5800000</v>
      </c>
    </row>
    <row r="284" spans="1:9" x14ac:dyDescent="0.25">
      <c r="A284" s="4">
        <v>282</v>
      </c>
      <c r="B284" s="5" t="s">
        <v>1032</v>
      </c>
      <c r="C284" s="6">
        <v>46113</v>
      </c>
      <c r="D284" s="11" t="s">
        <v>15</v>
      </c>
      <c r="E284" s="16" t="s">
        <v>1035</v>
      </c>
      <c r="F284" s="16">
        <v>44</v>
      </c>
      <c r="G284" s="147">
        <v>4</v>
      </c>
      <c r="H284" s="170" t="s">
        <v>799</v>
      </c>
      <c r="I284" s="10">
        <v>135000000</v>
      </c>
    </row>
    <row r="285" spans="1:9" x14ac:dyDescent="0.25">
      <c r="A285" s="4">
        <v>283</v>
      </c>
      <c r="B285" s="5" t="s">
        <v>1033</v>
      </c>
      <c r="C285" s="6">
        <v>46113</v>
      </c>
      <c r="D285" s="11" t="s">
        <v>15</v>
      </c>
      <c r="E285" s="16" t="s">
        <v>1035</v>
      </c>
      <c r="F285" s="16">
        <v>53</v>
      </c>
      <c r="G285" s="147">
        <v>4</v>
      </c>
      <c r="H285" s="170" t="s">
        <v>799</v>
      </c>
      <c r="I285" s="10">
        <v>135000000</v>
      </c>
    </row>
    <row r="286" spans="1:9" x14ac:dyDescent="0.25">
      <c r="A286" s="4">
        <v>284</v>
      </c>
      <c r="B286" s="5" t="s">
        <v>1034</v>
      </c>
      <c r="C286" s="6">
        <v>46113</v>
      </c>
      <c r="D286" s="11" t="s">
        <v>15</v>
      </c>
      <c r="E286" s="16" t="s">
        <v>1035</v>
      </c>
      <c r="F286" s="16">
        <v>164</v>
      </c>
      <c r="G286" s="147">
        <v>4</v>
      </c>
      <c r="H286" s="170" t="s">
        <v>799</v>
      </c>
      <c r="I286" s="10">
        <v>135000000</v>
      </c>
    </row>
    <row r="287" spans="1:9" x14ac:dyDescent="0.25">
      <c r="A287" s="4">
        <v>285</v>
      </c>
      <c r="B287" s="5" t="s">
        <v>1036</v>
      </c>
      <c r="C287" s="6">
        <v>46113</v>
      </c>
      <c r="D287" s="11" t="s">
        <v>9</v>
      </c>
      <c r="E287" s="16" t="s">
        <v>83</v>
      </c>
      <c r="F287" s="16" t="s">
        <v>828</v>
      </c>
      <c r="G287" s="147">
        <v>4</v>
      </c>
      <c r="H287" s="9"/>
      <c r="I287" s="10">
        <v>2500000</v>
      </c>
    </row>
    <row r="288" spans="1:9" x14ac:dyDescent="0.25">
      <c r="A288" s="4">
        <v>286</v>
      </c>
      <c r="B288" s="5" t="s">
        <v>1037</v>
      </c>
      <c r="C288" s="6">
        <v>46113</v>
      </c>
      <c r="D288" s="11" t="s">
        <v>15</v>
      </c>
      <c r="E288" s="16" t="s">
        <v>1035</v>
      </c>
      <c r="F288" s="16">
        <v>165</v>
      </c>
      <c r="G288" s="147">
        <v>4</v>
      </c>
      <c r="H288" s="170" t="s">
        <v>799</v>
      </c>
      <c r="I288" s="10">
        <v>135000000</v>
      </c>
    </row>
    <row r="289" spans="1:9" x14ac:dyDescent="0.25">
      <c r="A289" s="4">
        <v>287</v>
      </c>
      <c r="B289" s="5" t="s">
        <v>1038</v>
      </c>
      <c r="C289" s="6">
        <v>46113</v>
      </c>
      <c r="D289" s="11" t="s">
        <v>15</v>
      </c>
      <c r="E289" s="16" t="s">
        <v>1035</v>
      </c>
      <c r="F289" s="16">
        <v>166</v>
      </c>
      <c r="G289" s="147">
        <v>4</v>
      </c>
      <c r="H289" s="170" t="s">
        <v>799</v>
      </c>
      <c r="I289" s="10">
        <v>135000000</v>
      </c>
    </row>
    <row r="290" spans="1:9" x14ac:dyDescent="0.25">
      <c r="A290" s="4">
        <v>288</v>
      </c>
      <c r="B290" s="5" t="s">
        <v>1039</v>
      </c>
      <c r="C290" s="6">
        <v>46113</v>
      </c>
      <c r="D290" s="11" t="s">
        <v>15</v>
      </c>
      <c r="E290" s="16" t="s">
        <v>1035</v>
      </c>
      <c r="F290" s="16">
        <v>167</v>
      </c>
      <c r="G290" s="147">
        <v>4</v>
      </c>
      <c r="H290" s="170" t="s">
        <v>799</v>
      </c>
      <c r="I290" s="10">
        <v>135000000</v>
      </c>
    </row>
    <row r="291" spans="1:9" x14ac:dyDescent="0.25">
      <c r="A291" s="4">
        <v>289</v>
      </c>
      <c r="B291" s="5" t="s">
        <v>1040</v>
      </c>
      <c r="C291" s="6">
        <v>46116</v>
      </c>
      <c r="D291" s="11" t="s">
        <v>9</v>
      </c>
      <c r="E291" s="16" t="s">
        <v>86</v>
      </c>
      <c r="F291" s="16" t="s">
        <v>1043</v>
      </c>
      <c r="G291" s="147">
        <v>4</v>
      </c>
      <c r="H291" s="9"/>
      <c r="I291" s="10">
        <v>700000</v>
      </c>
    </row>
    <row r="292" spans="1:9" x14ac:dyDescent="0.25">
      <c r="A292" s="4">
        <v>290</v>
      </c>
      <c r="B292" s="5" t="s">
        <v>1041</v>
      </c>
      <c r="C292" s="6">
        <v>46116</v>
      </c>
      <c r="D292" s="11" t="s">
        <v>9</v>
      </c>
      <c r="E292" s="16" t="s">
        <v>1042</v>
      </c>
      <c r="F292" s="16" t="s">
        <v>1044</v>
      </c>
      <c r="G292" s="147">
        <v>4</v>
      </c>
      <c r="H292" s="9"/>
      <c r="I292" s="10">
        <v>7500000</v>
      </c>
    </row>
    <row r="293" spans="1:9" x14ac:dyDescent="0.25">
      <c r="A293" s="4">
        <v>291</v>
      </c>
      <c r="B293" s="5" t="s">
        <v>1045</v>
      </c>
      <c r="C293" s="6">
        <v>46116</v>
      </c>
      <c r="D293" s="11" t="s">
        <v>9</v>
      </c>
      <c r="E293" s="16" t="s">
        <v>114</v>
      </c>
      <c r="F293" s="16" t="s">
        <v>840</v>
      </c>
      <c r="G293" s="147">
        <v>4</v>
      </c>
      <c r="H293" s="9"/>
      <c r="I293" s="10">
        <v>800000</v>
      </c>
    </row>
    <row r="294" spans="1:9" x14ac:dyDescent="0.25">
      <c r="A294" s="4">
        <v>292</v>
      </c>
      <c r="B294" s="5" t="s">
        <v>1046</v>
      </c>
      <c r="C294" s="6">
        <v>46116</v>
      </c>
      <c r="D294" s="11" t="s">
        <v>9</v>
      </c>
      <c r="E294" s="16" t="s">
        <v>13</v>
      </c>
      <c r="F294" s="16" t="s">
        <v>1048</v>
      </c>
      <c r="G294" s="147">
        <v>4</v>
      </c>
      <c r="H294" s="9"/>
      <c r="I294" s="10">
        <v>2000000</v>
      </c>
    </row>
    <row r="295" spans="1:9" x14ac:dyDescent="0.25">
      <c r="A295" s="4">
        <v>293</v>
      </c>
      <c r="B295" s="5" t="s">
        <v>1047</v>
      </c>
      <c r="C295" s="6">
        <v>46116</v>
      </c>
      <c r="D295" s="11" t="s">
        <v>9</v>
      </c>
      <c r="E295" s="16" t="s">
        <v>13</v>
      </c>
      <c r="F295" s="16" t="s">
        <v>1048</v>
      </c>
      <c r="G295" s="147">
        <v>4</v>
      </c>
      <c r="H295" s="9"/>
      <c r="I295" s="10">
        <v>1000000</v>
      </c>
    </row>
    <row r="296" spans="1:9" x14ac:dyDescent="0.25">
      <c r="A296" s="4">
        <v>294</v>
      </c>
      <c r="B296" s="5" t="s">
        <v>1049</v>
      </c>
      <c r="C296" s="6">
        <v>46116</v>
      </c>
      <c r="D296" s="11" t="s">
        <v>9</v>
      </c>
      <c r="E296" s="16" t="s">
        <v>704</v>
      </c>
      <c r="F296" s="16" t="s">
        <v>1050</v>
      </c>
      <c r="G296" s="147">
        <v>4</v>
      </c>
      <c r="H296" s="9"/>
      <c r="I296" s="10">
        <v>1000000</v>
      </c>
    </row>
    <row r="297" spans="1:9" x14ac:dyDescent="0.25">
      <c r="A297" s="4">
        <v>295</v>
      </c>
      <c r="B297" s="5" t="s">
        <v>1051</v>
      </c>
      <c r="C297" s="6">
        <v>46116</v>
      </c>
      <c r="D297" s="11" t="s">
        <v>9</v>
      </c>
      <c r="E297" s="16" t="s">
        <v>1200</v>
      </c>
      <c r="F297" s="16" t="s">
        <v>1052</v>
      </c>
      <c r="G297" s="147">
        <v>4</v>
      </c>
      <c r="H297" s="9"/>
      <c r="I297" s="10">
        <v>150000</v>
      </c>
    </row>
    <row r="298" spans="1:9" x14ac:dyDescent="0.25">
      <c r="A298" s="4">
        <v>296</v>
      </c>
      <c r="B298" s="5" t="s">
        <v>1053</v>
      </c>
      <c r="C298" s="6">
        <v>46116</v>
      </c>
      <c r="D298" s="11" t="s">
        <v>9</v>
      </c>
      <c r="E298" s="16" t="s">
        <v>704</v>
      </c>
      <c r="F298" s="16" t="s">
        <v>705</v>
      </c>
      <c r="G298" s="147">
        <v>4</v>
      </c>
      <c r="H298" s="9"/>
      <c r="I298" s="10">
        <v>550000</v>
      </c>
    </row>
    <row r="299" spans="1:9" x14ac:dyDescent="0.25">
      <c r="A299" s="4">
        <v>297</v>
      </c>
      <c r="B299" s="5" t="s">
        <v>1054</v>
      </c>
      <c r="C299" s="6">
        <v>46116</v>
      </c>
      <c r="D299" s="11" t="s">
        <v>9</v>
      </c>
      <c r="E299" s="16" t="s">
        <v>1056</v>
      </c>
      <c r="F299" s="16" t="s">
        <v>1057</v>
      </c>
      <c r="G299" s="147">
        <v>4</v>
      </c>
      <c r="H299" s="9"/>
      <c r="I299" s="10">
        <v>120000</v>
      </c>
    </row>
    <row r="300" spans="1:9" x14ac:dyDescent="0.25">
      <c r="A300" s="4">
        <v>298</v>
      </c>
      <c r="B300" s="5" t="s">
        <v>1055</v>
      </c>
      <c r="C300" s="6">
        <v>46116</v>
      </c>
      <c r="D300" s="11" t="s">
        <v>21</v>
      </c>
      <c r="E300" s="16" t="s">
        <v>213</v>
      </c>
      <c r="F300" s="16" t="s">
        <v>206</v>
      </c>
      <c r="G300" s="147">
        <v>4</v>
      </c>
      <c r="H300" s="9"/>
      <c r="I300" s="10">
        <v>25000</v>
      </c>
    </row>
    <row r="301" spans="1:9" ht="15.75" x14ac:dyDescent="0.25">
      <c r="A301" s="4">
        <v>299</v>
      </c>
      <c r="B301" s="5" t="s">
        <v>1058</v>
      </c>
      <c r="C301" s="6">
        <v>46116</v>
      </c>
      <c r="D301" s="11" t="s">
        <v>15</v>
      </c>
      <c r="E301" s="16" t="s">
        <v>1060</v>
      </c>
      <c r="F301" s="13" t="s">
        <v>1061</v>
      </c>
      <c r="G301" s="147">
        <v>4</v>
      </c>
      <c r="H301" s="170" t="s">
        <v>799</v>
      </c>
      <c r="I301" s="10">
        <v>135000000</v>
      </c>
    </row>
    <row r="302" spans="1:9" ht="15.75" x14ac:dyDescent="0.25">
      <c r="A302" s="4">
        <v>300</v>
      </c>
      <c r="B302" s="5" t="s">
        <v>1059</v>
      </c>
      <c r="C302" s="6">
        <v>46116</v>
      </c>
      <c r="D302" s="11" t="s">
        <v>15</v>
      </c>
      <c r="E302" s="16" t="s">
        <v>1060</v>
      </c>
      <c r="F302" s="13" t="s">
        <v>1062</v>
      </c>
      <c r="G302" s="147">
        <v>4</v>
      </c>
      <c r="H302" s="170" t="s">
        <v>799</v>
      </c>
      <c r="I302" s="10">
        <v>135000000</v>
      </c>
    </row>
    <row r="303" spans="1:9" x14ac:dyDescent="0.25">
      <c r="A303" s="4">
        <v>301</v>
      </c>
      <c r="B303" s="5" t="s">
        <v>1063</v>
      </c>
      <c r="C303" s="6">
        <v>46117</v>
      </c>
      <c r="D303" s="11" t="s">
        <v>21</v>
      </c>
      <c r="E303" s="16" t="s">
        <v>17</v>
      </c>
      <c r="F303" s="16" t="s">
        <v>1064</v>
      </c>
      <c r="G303" s="147">
        <v>4</v>
      </c>
      <c r="H303" s="9"/>
      <c r="I303" s="10">
        <v>1800000</v>
      </c>
    </row>
    <row r="304" spans="1:9" x14ac:dyDescent="0.25">
      <c r="A304" s="4">
        <v>302</v>
      </c>
      <c r="B304" s="5" t="s">
        <v>1065</v>
      </c>
      <c r="C304" s="6">
        <v>46118</v>
      </c>
      <c r="D304" s="11" t="s">
        <v>21</v>
      </c>
      <c r="E304" s="16" t="s">
        <v>1067</v>
      </c>
      <c r="F304" s="16" t="s">
        <v>103</v>
      </c>
      <c r="G304" s="147">
        <v>4</v>
      </c>
      <c r="H304" s="9"/>
      <c r="I304" s="10">
        <v>25000</v>
      </c>
    </row>
    <row r="305" spans="1:9" x14ac:dyDescent="0.25">
      <c r="A305" s="4">
        <v>303</v>
      </c>
      <c r="B305" s="5" t="s">
        <v>1066</v>
      </c>
      <c r="C305" s="6">
        <v>46118</v>
      </c>
      <c r="D305" s="11" t="s">
        <v>9</v>
      </c>
      <c r="E305" s="16" t="s">
        <v>692</v>
      </c>
      <c r="F305" s="16" t="s">
        <v>1068</v>
      </c>
      <c r="G305" s="147">
        <v>4</v>
      </c>
      <c r="H305" s="9"/>
      <c r="I305" s="10">
        <v>250000</v>
      </c>
    </row>
    <row r="306" spans="1:9" x14ac:dyDescent="0.25">
      <c r="A306" s="4">
        <v>304</v>
      </c>
      <c r="B306" s="5" t="s">
        <v>1069</v>
      </c>
      <c r="C306" s="6">
        <v>46120</v>
      </c>
      <c r="D306" s="11" t="s">
        <v>21</v>
      </c>
      <c r="E306" s="16" t="s">
        <v>1400</v>
      </c>
      <c r="F306" s="16" t="s">
        <v>163</v>
      </c>
      <c r="G306" s="147">
        <v>4</v>
      </c>
      <c r="H306" s="9"/>
      <c r="I306" s="10">
        <v>140000</v>
      </c>
    </row>
    <row r="307" spans="1:9" x14ac:dyDescent="0.25">
      <c r="A307" s="4">
        <v>305</v>
      </c>
      <c r="B307" s="5" t="s">
        <v>1070</v>
      </c>
      <c r="C307" s="6">
        <v>46120</v>
      </c>
      <c r="D307" s="11" t="s">
        <v>9</v>
      </c>
      <c r="E307" s="16" t="s">
        <v>1191</v>
      </c>
      <c r="F307" s="16" t="s">
        <v>1073</v>
      </c>
      <c r="G307" s="147">
        <v>4</v>
      </c>
      <c r="H307" s="9"/>
      <c r="I307" s="10">
        <v>300000</v>
      </c>
    </row>
    <row r="308" spans="1:9" ht="15.75" x14ac:dyDescent="0.25">
      <c r="A308" s="4">
        <v>306</v>
      </c>
      <c r="B308" s="5" t="s">
        <v>1071</v>
      </c>
      <c r="C308" s="6">
        <v>46120</v>
      </c>
      <c r="D308" s="11" t="s">
        <v>15</v>
      </c>
      <c r="E308" s="16" t="s">
        <v>37</v>
      </c>
      <c r="F308" s="13" t="s">
        <v>38</v>
      </c>
      <c r="G308" s="147">
        <v>4</v>
      </c>
      <c r="H308" s="9" t="s">
        <v>886</v>
      </c>
      <c r="I308" s="10">
        <v>4000000</v>
      </c>
    </row>
    <row r="309" spans="1:9" x14ac:dyDescent="0.25">
      <c r="A309" s="4">
        <v>307</v>
      </c>
      <c r="B309" s="5" t="s">
        <v>1072</v>
      </c>
      <c r="C309" s="6">
        <v>46120</v>
      </c>
      <c r="D309" s="11" t="s">
        <v>23</v>
      </c>
      <c r="E309" s="16" t="s">
        <v>105</v>
      </c>
      <c r="F309" s="16" t="s">
        <v>168</v>
      </c>
      <c r="G309" s="147">
        <v>4</v>
      </c>
      <c r="H309" s="9"/>
      <c r="I309" s="10">
        <v>4000000</v>
      </c>
    </row>
    <row r="310" spans="1:9" ht="15.75" x14ac:dyDescent="0.25">
      <c r="A310" s="4">
        <v>308</v>
      </c>
      <c r="B310" s="5" t="s">
        <v>1075</v>
      </c>
      <c r="C310" s="6">
        <v>46121</v>
      </c>
      <c r="D310" s="11" t="s">
        <v>15</v>
      </c>
      <c r="E310" s="16" t="s">
        <v>37</v>
      </c>
      <c r="F310" s="13" t="s">
        <v>38</v>
      </c>
      <c r="G310" s="147">
        <v>4</v>
      </c>
      <c r="H310" s="9" t="s">
        <v>886</v>
      </c>
      <c r="I310" s="10">
        <v>2000000</v>
      </c>
    </row>
    <row r="311" spans="1:9" x14ac:dyDescent="0.25">
      <c r="A311" s="4">
        <v>309</v>
      </c>
      <c r="B311" s="19" t="s">
        <v>1076</v>
      </c>
      <c r="C311" s="6">
        <v>46123</v>
      </c>
      <c r="D311" s="11" t="s">
        <v>9</v>
      </c>
      <c r="E311" s="16" t="s">
        <v>1428</v>
      </c>
      <c r="F311" s="16" t="s">
        <v>1081</v>
      </c>
      <c r="G311" s="147">
        <v>4</v>
      </c>
      <c r="H311" s="9"/>
      <c r="I311" s="10">
        <v>500000</v>
      </c>
    </row>
    <row r="312" spans="1:9" x14ac:dyDescent="0.25">
      <c r="A312" s="4">
        <v>310</v>
      </c>
      <c r="B312" s="5" t="s">
        <v>1077</v>
      </c>
      <c r="C312" s="6">
        <v>46123</v>
      </c>
      <c r="D312" s="11" t="s">
        <v>9</v>
      </c>
      <c r="E312" s="16" t="s">
        <v>92</v>
      </c>
      <c r="F312" s="16" t="s">
        <v>569</v>
      </c>
      <c r="G312" s="147">
        <v>4</v>
      </c>
      <c r="H312" s="9"/>
      <c r="I312" s="10">
        <v>150000</v>
      </c>
    </row>
    <row r="313" spans="1:9" x14ac:dyDescent="0.25">
      <c r="A313" s="4">
        <v>311</v>
      </c>
      <c r="B313" s="5" t="s">
        <v>1078</v>
      </c>
      <c r="C313" s="6">
        <v>46123</v>
      </c>
      <c r="D313" s="11" t="s">
        <v>9</v>
      </c>
      <c r="E313" s="16" t="s">
        <v>692</v>
      </c>
      <c r="F313" s="16" t="s">
        <v>1082</v>
      </c>
      <c r="G313" s="147">
        <v>4</v>
      </c>
      <c r="H313" s="9"/>
      <c r="I313" s="10">
        <v>150000</v>
      </c>
    </row>
    <row r="314" spans="1:9" x14ac:dyDescent="0.25">
      <c r="A314" s="4">
        <v>312</v>
      </c>
      <c r="B314" s="5" t="s">
        <v>1079</v>
      </c>
      <c r="C314" s="6">
        <v>46123</v>
      </c>
      <c r="D314" s="11" t="s">
        <v>9</v>
      </c>
      <c r="E314" s="16" t="s">
        <v>692</v>
      </c>
      <c r="F314" s="16" t="s">
        <v>1083</v>
      </c>
      <c r="G314" s="147">
        <v>4</v>
      </c>
      <c r="H314" s="9"/>
      <c r="I314" s="10">
        <v>75000</v>
      </c>
    </row>
    <row r="315" spans="1:9" x14ac:dyDescent="0.25">
      <c r="A315" s="4">
        <v>313</v>
      </c>
      <c r="B315" s="5" t="s">
        <v>1080</v>
      </c>
      <c r="C315" s="6">
        <v>46123</v>
      </c>
      <c r="D315" s="11" t="s">
        <v>9</v>
      </c>
      <c r="E315" s="16" t="s">
        <v>692</v>
      </c>
      <c r="F315" s="16" t="s">
        <v>1084</v>
      </c>
      <c r="G315" s="147">
        <v>4</v>
      </c>
      <c r="H315" s="9"/>
      <c r="I315" s="10">
        <v>125000</v>
      </c>
    </row>
    <row r="316" spans="1:9" x14ac:dyDescent="0.25">
      <c r="A316" s="4">
        <v>314</v>
      </c>
      <c r="B316" s="5" t="s">
        <v>1085</v>
      </c>
      <c r="C316" s="6">
        <v>46123</v>
      </c>
      <c r="D316" s="11" t="s">
        <v>9</v>
      </c>
      <c r="E316" s="16" t="s">
        <v>17</v>
      </c>
      <c r="F316" s="16" t="s">
        <v>868</v>
      </c>
      <c r="G316" s="147">
        <v>4</v>
      </c>
      <c r="H316" s="9"/>
      <c r="I316" s="10">
        <v>500000</v>
      </c>
    </row>
    <row r="317" spans="1:9" x14ac:dyDescent="0.25">
      <c r="A317" s="4">
        <v>315</v>
      </c>
      <c r="B317" s="5" t="s">
        <v>1086</v>
      </c>
      <c r="C317" s="6">
        <v>46123</v>
      </c>
      <c r="D317" s="11" t="s">
        <v>9</v>
      </c>
      <c r="E317" s="16" t="s">
        <v>17</v>
      </c>
      <c r="F317" s="16" t="s">
        <v>1187</v>
      </c>
      <c r="G317" s="147">
        <v>4</v>
      </c>
      <c r="H317" s="9"/>
      <c r="I317" s="10">
        <v>1000000</v>
      </c>
    </row>
    <row r="318" spans="1:9" ht="15.75" x14ac:dyDescent="0.25">
      <c r="A318" s="4">
        <v>316</v>
      </c>
      <c r="B318" s="5" t="s">
        <v>1089</v>
      </c>
      <c r="C318" s="6">
        <v>46123</v>
      </c>
      <c r="D318" s="11" t="s">
        <v>15</v>
      </c>
      <c r="E318" s="16" t="s">
        <v>519</v>
      </c>
      <c r="F318" s="13" t="s">
        <v>1090</v>
      </c>
      <c r="G318" s="147">
        <v>4</v>
      </c>
      <c r="H318" s="9" t="s">
        <v>886</v>
      </c>
      <c r="I318" s="10">
        <v>7000000</v>
      </c>
    </row>
    <row r="319" spans="1:9" x14ac:dyDescent="0.25">
      <c r="A319" s="4">
        <v>317</v>
      </c>
      <c r="B319" s="5" t="s">
        <v>1091</v>
      </c>
      <c r="C319" s="6">
        <v>46123</v>
      </c>
      <c r="D319" s="11" t="s">
        <v>23</v>
      </c>
      <c r="E319" s="16" t="s">
        <v>989</v>
      </c>
      <c r="F319" s="16" t="s">
        <v>1092</v>
      </c>
      <c r="G319" s="147">
        <v>4</v>
      </c>
      <c r="H319" s="9"/>
      <c r="I319" s="10">
        <v>500000</v>
      </c>
    </row>
    <row r="320" spans="1:9" x14ac:dyDescent="0.25">
      <c r="A320" s="4">
        <v>318</v>
      </c>
      <c r="B320" s="5" t="s">
        <v>1093</v>
      </c>
      <c r="C320" s="6">
        <v>46123</v>
      </c>
      <c r="D320" s="11" t="s">
        <v>9</v>
      </c>
      <c r="E320" s="16" t="s">
        <v>864</v>
      </c>
      <c r="F320" s="16" t="s">
        <v>1094</v>
      </c>
      <c r="G320" s="147">
        <v>4</v>
      </c>
      <c r="H320" s="9"/>
      <c r="I320" s="10">
        <v>1180000</v>
      </c>
    </row>
    <row r="321" spans="1:9" x14ac:dyDescent="0.25">
      <c r="A321" s="4">
        <v>319</v>
      </c>
      <c r="B321" s="5" t="s">
        <v>1095</v>
      </c>
      <c r="C321" s="6">
        <v>46123</v>
      </c>
      <c r="D321" s="11" t="s">
        <v>9</v>
      </c>
      <c r="E321" s="16" t="s">
        <v>97</v>
      </c>
      <c r="F321" s="16" t="s">
        <v>9</v>
      </c>
      <c r="G321" s="147">
        <v>4</v>
      </c>
      <c r="H321" s="9"/>
      <c r="I321" s="10">
        <v>623000</v>
      </c>
    </row>
    <row r="322" spans="1:9" x14ac:dyDescent="0.25">
      <c r="A322" s="4">
        <v>320</v>
      </c>
      <c r="B322" s="5" t="s">
        <v>1096</v>
      </c>
      <c r="C322" s="6">
        <v>46123</v>
      </c>
      <c r="D322" s="11" t="s">
        <v>9</v>
      </c>
      <c r="E322" s="16" t="s">
        <v>13</v>
      </c>
      <c r="F322" s="16" t="s">
        <v>1099</v>
      </c>
      <c r="G322" s="147">
        <v>4</v>
      </c>
      <c r="H322" s="9"/>
      <c r="I322" s="10">
        <v>1000000</v>
      </c>
    </row>
    <row r="323" spans="1:9" x14ac:dyDescent="0.25">
      <c r="A323" s="4">
        <v>321</v>
      </c>
      <c r="B323" s="5" t="s">
        <v>1097</v>
      </c>
      <c r="C323" s="6">
        <v>46123</v>
      </c>
      <c r="D323" s="11" t="s">
        <v>9</v>
      </c>
      <c r="E323" s="16" t="s">
        <v>13</v>
      </c>
      <c r="F323" s="16" t="s">
        <v>1100</v>
      </c>
      <c r="G323" s="147">
        <v>4</v>
      </c>
      <c r="H323" s="9"/>
      <c r="I323" s="10">
        <v>1000000</v>
      </c>
    </row>
    <row r="324" spans="1:9" x14ac:dyDescent="0.25">
      <c r="A324" s="4">
        <v>322</v>
      </c>
      <c r="B324" s="5" t="s">
        <v>1098</v>
      </c>
      <c r="C324" s="6">
        <v>46123</v>
      </c>
      <c r="D324" s="11" t="s">
        <v>9</v>
      </c>
      <c r="E324" s="16" t="s">
        <v>1408</v>
      </c>
      <c r="F324" s="16" t="s">
        <v>1101</v>
      </c>
      <c r="G324" s="147">
        <v>4</v>
      </c>
      <c r="H324" s="9"/>
      <c r="I324" s="10">
        <v>1460000</v>
      </c>
    </row>
    <row r="325" spans="1:9" ht="15.75" x14ac:dyDescent="0.25">
      <c r="A325" s="4">
        <v>323</v>
      </c>
      <c r="B325" s="5" t="s">
        <v>1103</v>
      </c>
      <c r="C325" s="6">
        <v>46124</v>
      </c>
      <c r="D325" s="11" t="s">
        <v>15</v>
      </c>
      <c r="E325" s="16" t="s">
        <v>463</v>
      </c>
      <c r="F325" s="13" t="s">
        <v>1102</v>
      </c>
      <c r="G325" s="147">
        <v>4</v>
      </c>
      <c r="H325" s="9" t="s">
        <v>886</v>
      </c>
      <c r="I325" s="10">
        <v>2000000</v>
      </c>
    </row>
    <row r="326" spans="1:9" x14ac:dyDescent="0.25">
      <c r="A326" s="4">
        <v>324</v>
      </c>
      <c r="B326" s="5" t="s">
        <v>1104</v>
      </c>
      <c r="C326" s="6">
        <v>46124</v>
      </c>
      <c r="D326" s="11" t="s">
        <v>23</v>
      </c>
      <c r="E326" s="16" t="s">
        <v>1105</v>
      </c>
      <c r="F326" s="16" t="s">
        <v>1106</v>
      </c>
      <c r="G326" s="147">
        <v>4</v>
      </c>
      <c r="H326" s="9"/>
      <c r="I326" s="10">
        <v>1500000</v>
      </c>
    </row>
    <row r="327" spans="1:9" x14ac:dyDescent="0.25">
      <c r="A327" s="4">
        <v>325</v>
      </c>
      <c r="B327" s="5" t="s">
        <v>1107</v>
      </c>
      <c r="C327" s="6">
        <v>46124</v>
      </c>
      <c r="D327" s="11" t="s">
        <v>9</v>
      </c>
      <c r="E327" s="16" t="s">
        <v>152</v>
      </c>
      <c r="F327" s="16" t="s">
        <v>1160</v>
      </c>
      <c r="G327" s="147">
        <v>4</v>
      </c>
      <c r="H327" s="9"/>
      <c r="I327" s="10">
        <v>500000</v>
      </c>
    </row>
    <row r="328" spans="1:9" x14ac:dyDescent="0.25">
      <c r="A328" s="4">
        <v>326</v>
      </c>
      <c r="B328" s="5" t="s">
        <v>1109</v>
      </c>
      <c r="C328" s="6">
        <v>46125</v>
      </c>
      <c r="D328" s="11" t="s">
        <v>21</v>
      </c>
      <c r="E328" s="16" t="s">
        <v>692</v>
      </c>
      <c r="F328" s="16" t="s">
        <v>1108</v>
      </c>
      <c r="G328" s="147">
        <v>4</v>
      </c>
      <c r="H328" s="9"/>
      <c r="I328" s="10">
        <v>12000</v>
      </c>
    </row>
    <row r="329" spans="1:9" x14ac:dyDescent="0.25">
      <c r="A329" s="4">
        <v>327</v>
      </c>
      <c r="B329" s="5" t="s">
        <v>1110</v>
      </c>
      <c r="C329" s="6">
        <v>46125</v>
      </c>
      <c r="D329" s="11" t="s">
        <v>21</v>
      </c>
      <c r="E329" s="16" t="s">
        <v>668</v>
      </c>
      <c r="F329" s="16" t="s">
        <v>669</v>
      </c>
      <c r="G329" s="147">
        <v>4</v>
      </c>
      <c r="H329" s="9"/>
      <c r="I329" s="10">
        <v>35000</v>
      </c>
    </row>
    <row r="330" spans="1:9" x14ac:dyDescent="0.25">
      <c r="A330" s="4">
        <v>328</v>
      </c>
      <c r="B330" s="5" t="s">
        <v>1116</v>
      </c>
      <c r="C330" s="6">
        <v>46126</v>
      </c>
      <c r="D330" s="11" t="s">
        <v>9</v>
      </c>
      <c r="E330" s="16" t="s">
        <v>1056</v>
      </c>
      <c r="F330" s="16" t="s">
        <v>1115</v>
      </c>
      <c r="G330" s="147">
        <v>4</v>
      </c>
      <c r="H330" s="9"/>
      <c r="I330" s="10">
        <v>680000</v>
      </c>
    </row>
    <row r="331" spans="1:9" x14ac:dyDescent="0.25">
      <c r="A331" s="4">
        <v>329</v>
      </c>
      <c r="B331" s="5" t="s">
        <v>1117</v>
      </c>
      <c r="C331" s="6">
        <v>46126</v>
      </c>
      <c r="D331" s="11" t="s">
        <v>9</v>
      </c>
      <c r="E331" s="16" t="s">
        <v>1111</v>
      </c>
      <c r="F331" s="16" t="s">
        <v>1114</v>
      </c>
      <c r="G331" s="147">
        <v>4</v>
      </c>
      <c r="H331" s="9"/>
      <c r="I331" s="10">
        <v>50000</v>
      </c>
    </row>
    <row r="332" spans="1:9" x14ac:dyDescent="0.25">
      <c r="A332" s="4">
        <v>330</v>
      </c>
      <c r="B332" s="5" t="s">
        <v>1118</v>
      </c>
      <c r="C332" s="6">
        <v>46126</v>
      </c>
      <c r="D332" s="11" t="s">
        <v>9</v>
      </c>
      <c r="E332" s="16" t="s">
        <v>1112</v>
      </c>
      <c r="F332" s="16" t="s">
        <v>1113</v>
      </c>
      <c r="G332" s="147">
        <v>4</v>
      </c>
      <c r="H332" s="9"/>
      <c r="I332" s="10">
        <v>20000</v>
      </c>
    </row>
    <row r="333" spans="1:9" x14ac:dyDescent="0.25">
      <c r="A333" s="4">
        <v>331</v>
      </c>
      <c r="B333" s="5" t="s">
        <v>1119</v>
      </c>
      <c r="C333" s="6">
        <v>46128</v>
      </c>
      <c r="D333" s="11" t="s">
        <v>9</v>
      </c>
      <c r="E333" s="16" t="s">
        <v>86</v>
      </c>
      <c r="F333" s="16" t="s">
        <v>1122</v>
      </c>
      <c r="G333" s="147">
        <v>4</v>
      </c>
      <c r="H333" s="9"/>
      <c r="I333" s="10">
        <v>360000</v>
      </c>
    </row>
    <row r="334" spans="1:9" x14ac:dyDescent="0.25">
      <c r="A334" s="4">
        <v>332</v>
      </c>
      <c r="B334" s="5" t="s">
        <v>1120</v>
      </c>
      <c r="C334" s="6">
        <v>46128</v>
      </c>
      <c r="D334" s="11" t="s">
        <v>21</v>
      </c>
      <c r="E334" s="16" t="s">
        <v>787</v>
      </c>
      <c r="F334" s="16" t="s">
        <v>1121</v>
      </c>
      <c r="G334" s="147">
        <v>4</v>
      </c>
      <c r="H334" s="9"/>
      <c r="I334" s="10">
        <v>500000</v>
      </c>
    </row>
    <row r="335" spans="1:9" ht="15.75" x14ac:dyDescent="0.25">
      <c r="A335" s="4">
        <v>333</v>
      </c>
      <c r="B335" s="5" t="s">
        <v>1126</v>
      </c>
      <c r="C335" s="6">
        <v>46128</v>
      </c>
      <c r="D335" s="11" t="s">
        <v>15</v>
      </c>
      <c r="E335" s="16" t="s">
        <v>144</v>
      </c>
      <c r="F335" s="13" t="s">
        <v>145</v>
      </c>
      <c r="G335" s="147">
        <v>4</v>
      </c>
      <c r="H335" s="9" t="s">
        <v>886</v>
      </c>
      <c r="I335" s="10">
        <v>10000000</v>
      </c>
    </row>
    <row r="336" spans="1:9" ht="15.75" x14ac:dyDescent="0.25">
      <c r="A336" s="4">
        <v>334</v>
      </c>
      <c r="B336" s="5" t="s">
        <v>1127</v>
      </c>
      <c r="C336" s="6">
        <v>46128</v>
      </c>
      <c r="D336" s="11" t="s">
        <v>15</v>
      </c>
      <c r="E336" s="16" t="s">
        <v>1128</v>
      </c>
      <c r="F336" s="13" t="s">
        <v>148</v>
      </c>
      <c r="G336" s="147">
        <v>4</v>
      </c>
      <c r="H336" s="9" t="s">
        <v>886</v>
      </c>
      <c r="I336" s="10">
        <v>10000000</v>
      </c>
    </row>
    <row r="337" spans="1:9" x14ac:dyDescent="0.25">
      <c r="A337" s="4">
        <v>335</v>
      </c>
      <c r="B337" s="5" t="s">
        <v>1124</v>
      </c>
      <c r="C337" s="6">
        <v>46128</v>
      </c>
      <c r="D337" s="11" t="s">
        <v>23</v>
      </c>
      <c r="E337" s="16" t="s">
        <v>1105</v>
      </c>
      <c r="F337" s="16" t="s">
        <v>1106</v>
      </c>
      <c r="G337" s="147">
        <v>4</v>
      </c>
      <c r="H337" s="9"/>
      <c r="I337" s="10">
        <v>1000000</v>
      </c>
    </row>
    <row r="338" spans="1:9" x14ac:dyDescent="0.25">
      <c r="A338" s="4">
        <v>336</v>
      </c>
      <c r="B338" s="5" t="s">
        <v>1125</v>
      </c>
      <c r="C338" s="6">
        <v>46128</v>
      </c>
      <c r="D338" s="11" t="s">
        <v>9</v>
      </c>
      <c r="E338" s="16" t="s">
        <v>114</v>
      </c>
      <c r="F338" s="16" t="s">
        <v>1259</v>
      </c>
      <c r="G338" s="147">
        <v>4</v>
      </c>
      <c r="H338" s="9"/>
      <c r="I338" s="10">
        <v>1200000</v>
      </c>
    </row>
    <row r="339" spans="1:9" x14ac:dyDescent="0.25">
      <c r="A339" s="4">
        <v>337</v>
      </c>
      <c r="B339" s="5" t="s">
        <v>1129</v>
      </c>
      <c r="C339" s="6">
        <v>46128</v>
      </c>
      <c r="D339" s="11" t="s">
        <v>9</v>
      </c>
      <c r="E339" s="16" t="s">
        <v>13</v>
      </c>
      <c r="F339" s="16" t="s">
        <v>1048</v>
      </c>
      <c r="G339" s="147">
        <v>4</v>
      </c>
      <c r="H339" s="9"/>
      <c r="I339" s="10">
        <v>1000000</v>
      </c>
    </row>
    <row r="340" spans="1:9" x14ac:dyDescent="0.25">
      <c r="A340" s="4">
        <v>338</v>
      </c>
      <c r="B340" s="5" t="s">
        <v>1130</v>
      </c>
      <c r="C340" s="6">
        <v>46128</v>
      </c>
      <c r="D340" s="11" t="s">
        <v>9</v>
      </c>
      <c r="E340" s="16" t="s">
        <v>1132</v>
      </c>
      <c r="F340" s="16" t="s">
        <v>1131</v>
      </c>
      <c r="G340" s="147">
        <v>4</v>
      </c>
      <c r="H340" s="9"/>
      <c r="I340" s="10">
        <v>200000</v>
      </c>
    </row>
    <row r="341" spans="1:9" x14ac:dyDescent="0.25">
      <c r="A341" s="4">
        <v>339</v>
      </c>
      <c r="B341" s="5" t="s">
        <v>1133</v>
      </c>
      <c r="C341" s="6">
        <v>46128</v>
      </c>
      <c r="D341" s="11" t="s">
        <v>21</v>
      </c>
      <c r="E341" s="16" t="s">
        <v>1067</v>
      </c>
      <c r="F341" s="16" t="s">
        <v>103</v>
      </c>
      <c r="G341" s="147">
        <v>4</v>
      </c>
      <c r="H341" s="9"/>
      <c r="I341" s="10">
        <v>35000</v>
      </c>
    </row>
    <row r="342" spans="1:9" x14ac:dyDescent="0.25">
      <c r="A342" s="4">
        <v>340</v>
      </c>
      <c r="B342" s="5" t="s">
        <v>1134</v>
      </c>
      <c r="C342" s="6">
        <v>46128</v>
      </c>
      <c r="D342" s="11" t="s">
        <v>21</v>
      </c>
      <c r="E342" s="16" t="s">
        <v>1135</v>
      </c>
      <c r="F342" s="16" t="s">
        <v>100</v>
      </c>
      <c r="G342" s="147">
        <v>4</v>
      </c>
      <c r="H342" s="9"/>
      <c r="I342" s="10">
        <v>2500000</v>
      </c>
    </row>
    <row r="343" spans="1:9" x14ac:dyDescent="0.25">
      <c r="A343" s="4">
        <v>341</v>
      </c>
      <c r="B343" s="5" t="s">
        <v>1136</v>
      </c>
      <c r="C343" s="6">
        <v>46128</v>
      </c>
      <c r="D343" s="11" t="s">
        <v>9</v>
      </c>
      <c r="E343" s="16" t="s">
        <v>97</v>
      </c>
      <c r="F343" s="16" t="s">
        <v>9</v>
      </c>
      <c r="G343" s="147">
        <v>4</v>
      </c>
      <c r="H343" s="9"/>
      <c r="I343" s="10">
        <v>608000</v>
      </c>
    </row>
    <row r="344" spans="1:9" x14ac:dyDescent="0.25">
      <c r="A344" s="4">
        <v>342</v>
      </c>
      <c r="B344" s="5" t="s">
        <v>1137</v>
      </c>
      <c r="C344" s="6">
        <v>46128</v>
      </c>
      <c r="D344" s="11" t="s">
        <v>21</v>
      </c>
      <c r="E344" s="16" t="s">
        <v>1139</v>
      </c>
      <c r="F344" s="16" t="s">
        <v>1140</v>
      </c>
      <c r="G344" s="147">
        <v>4</v>
      </c>
      <c r="H344" s="9"/>
      <c r="I344" s="10">
        <v>50000</v>
      </c>
    </row>
    <row r="345" spans="1:9" x14ac:dyDescent="0.25">
      <c r="A345" s="4">
        <v>343</v>
      </c>
      <c r="B345" s="5" t="s">
        <v>1138</v>
      </c>
      <c r="C345" s="6">
        <v>46128</v>
      </c>
      <c r="D345" s="11" t="s">
        <v>21</v>
      </c>
      <c r="E345" s="16" t="s">
        <v>1139</v>
      </c>
      <c r="F345" s="16" t="s">
        <v>1141</v>
      </c>
      <c r="G345" s="147">
        <v>4</v>
      </c>
      <c r="H345" s="9"/>
      <c r="I345" s="10">
        <v>125000</v>
      </c>
    </row>
    <row r="346" spans="1:9" x14ac:dyDescent="0.25">
      <c r="A346" s="4">
        <v>344</v>
      </c>
      <c r="B346" s="5" t="s">
        <v>1142</v>
      </c>
      <c r="C346" s="6">
        <v>46130</v>
      </c>
      <c r="D346" s="11" t="s">
        <v>9</v>
      </c>
      <c r="E346" s="16" t="s">
        <v>1147</v>
      </c>
      <c r="F346" s="16" t="s">
        <v>1148</v>
      </c>
      <c r="G346" s="147">
        <v>4</v>
      </c>
      <c r="H346" s="9"/>
      <c r="I346" s="10">
        <v>1000000</v>
      </c>
    </row>
    <row r="347" spans="1:9" x14ac:dyDescent="0.25">
      <c r="A347" s="4">
        <v>345</v>
      </c>
      <c r="B347" s="5" t="s">
        <v>1143</v>
      </c>
      <c r="C347" s="6">
        <v>46130</v>
      </c>
      <c r="D347" s="11" t="s">
        <v>9</v>
      </c>
      <c r="E347" s="16" t="s">
        <v>1112</v>
      </c>
      <c r="F347" s="16" t="s">
        <v>1149</v>
      </c>
      <c r="G347" s="147">
        <v>4</v>
      </c>
      <c r="H347" s="9"/>
      <c r="I347" s="10">
        <v>125000</v>
      </c>
    </row>
    <row r="348" spans="1:9" x14ac:dyDescent="0.25">
      <c r="A348" s="4">
        <v>346</v>
      </c>
      <c r="B348" s="5" t="s">
        <v>1144</v>
      </c>
      <c r="C348" s="6">
        <v>46130</v>
      </c>
      <c r="D348" s="11" t="s">
        <v>9</v>
      </c>
      <c r="E348" s="16" t="s">
        <v>1173</v>
      </c>
      <c r="F348" s="16" t="s">
        <v>1171</v>
      </c>
      <c r="G348" s="147">
        <v>4</v>
      </c>
      <c r="H348" s="9"/>
      <c r="I348" s="10">
        <v>100000</v>
      </c>
    </row>
    <row r="349" spans="1:9" x14ac:dyDescent="0.25">
      <c r="A349" s="4">
        <v>347</v>
      </c>
      <c r="B349" s="5" t="s">
        <v>1145</v>
      </c>
      <c r="C349" s="6">
        <v>46130</v>
      </c>
      <c r="D349" s="11" t="s">
        <v>9</v>
      </c>
      <c r="E349" s="16" t="s">
        <v>1151</v>
      </c>
      <c r="F349" s="16" t="s">
        <v>1152</v>
      </c>
      <c r="G349" s="147">
        <v>4</v>
      </c>
      <c r="H349" s="9"/>
      <c r="I349" s="10">
        <v>70000</v>
      </c>
    </row>
    <row r="350" spans="1:9" x14ac:dyDescent="0.25">
      <c r="A350" s="4">
        <v>348</v>
      </c>
      <c r="B350" s="5" t="s">
        <v>1146</v>
      </c>
      <c r="C350" s="6">
        <v>46130</v>
      </c>
      <c r="D350" s="11" t="s">
        <v>9</v>
      </c>
      <c r="E350" s="16" t="s">
        <v>1112</v>
      </c>
      <c r="F350" s="16" t="s">
        <v>1153</v>
      </c>
      <c r="G350" s="147">
        <v>4</v>
      </c>
      <c r="H350" s="9"/>
      <c r="I350" s="10">
        <v>90000</v>
      </c>
    </row>
    <row r="351" spans="1:9" x14ac:dyDescent="0.25">
      <c r="A351" s="4">
        <v>349</v>
      </c>
      <c r="B351" s="5" t="s">
        <v>1150</v>
      </c>
      <c r="C351" s="6">
        <v>46130</v>
      </c>
      <c r="D351" s="11" t="s">
        <v>23</v>
      </c>
      <c r="E351" s="16" t="s">
        <v>1155</v>
      </c>
      <c r="F351" s="16" t="s">
        <v>1157</v>
      </c>
      <c r="G351" s="147">
        <v>4</v>
      </c>
      <c r="H351" s="9"/>
      <c r="I351" s="10">
        <v>500000</v>
      </c>
    </row>
    <row r="352" spans="1:9" x14ac:dyDescent="0.25">
      <c r="A352" s="4">
        <v>350</v>
      </c>
      <c r="B352" s="5" t="s">
        <v>1154</v>
      </c>
      <c r="C352" s="6">
        <v>46130</v>
      </c>
      <c r="D352" s="11" t="s">
        <v>23</v>
      </c>
      <c r="E352" s="16" t="s">
        <v>1156</v>
      </c>
      <c r="F352" s="16" t="s">
        <v>1157</v>
      </c>
      <c r="G352" s="147">
        <v>4</v>
      </c>
      <c r="H352" s="9"/>
      <c r="I352" s="10">
        <v>500000</v>
      </c>
    </row>
    <row r="353" spans="1:9" ht="15.75" x14ac:dyDescent="0.25">
      <c r="A353" s="4">
        <v>351</v>
      </c>
      <c r="B353" s="5" t="s">
        <v>1158</v>
      </c>
      <c r="C353" s="6">
        <v>46130</v>
      </c>
      <c r="D353" s="11" t="s">
        <v>15</v>
      </c>
      <c r="E353" s="16" t="s">
        <v>419</v>
      </c>
      <c r="F353" s="13" t="s">
        <v>1159</v>
      </c>
      <c r="G353" s="147">
        <v>4</v>
      </c>
      <c r="H353" s="9" t="s">
        <v>886</v>
      </c>
      <c r="I353" s="10">
        <v>6000000</v>
      </c>
    </row>
    <row r="354" spans="1:9" x14ac:dyDescent="0.25">
      <c r="A354" s="4">
        <v>352</v>
      </c>
      <c r="B354" s="5" t="s">
        <v>1161</v>
      </c>
      <c r="C354" s="6">
        <v>46130</v>
      </c>
      <c r="D354" s="11" t="s">
        <v>9</v>
      </c>
      <c r="E354" s="16" t="s">
        <v>152</v>
      </c>
      <c r="F354" s="16" t="s">
        <v>1163</v>
      </c>
      <c r="G354" s="147">
        <v>4</v>
      </c>
      <c r="H354" s="9"/>
      <c r="I354" s="10">
        <v>500000</v>
      </c>
    </row>
    <row r="355" spans="1:9" x14ac:dyDescent="0.25">
      <c r="A355" s="4">
        <v>353</v>
      </c>
      <c r="B355" s="5" t="s">
        <v>1162</v>
      </c>
      <c r="C355" s="6">
        <v>46130</v>
      </c>
      <c r="D355" s="11" t="s">
        <v>9</v>
      </c>
      <c r="E355" s="16" t="s">
        <v>13</v>
      </c>
      <c r="F355" s="16" t="s">
        <v>1164</v>
      </c>
      <c r="G355" s="147">
        <v>4</v>
      </c>
      <c r="H355" s="9"/>
      <c r="I355" s="10">
        <v>1500000</v>
      </c>
    </row>
    <row r="356" spans="1:9" x14ac:dyDescent="0.25">
      <c r="A356" s="4">
        <v>354</v>
      </c>
      <c r="B356" s="5" t="s">
        <v>1165</v>
      </c>
      <c r="C356" s="6">
        <v>46130</v>
      </c>
      <c r="D356" s="11" t="s">
        <v>9</v>
      </c>
      <c r="E356" s="16" t="s">
        <v>595</v>
      </c>
      <c r="F356" s="16" t="s">
        <v>1172</v>
      </c>
      <c r="G356" s="147">
        <v>4</v>
      </c>
      <c r="H356" s="9"/>
      <c r="I356" s="10">
        <v>100000</v>
      </c>
    </row>
    <row r="357" spans="1:9" x14ac:dyDescent="0.25">
      <c r="A357" s="4">
        <v>355</v>
      </c>
      <c r="B357" s="5" t="s">
        <v>1167</v>
      </c>
      <c r="C357" s="6">
        <v>46130</v>
      </c>
      <c r="D357" s="11" t="s">
        <v>23</v>
      </c>
      <c r="E357" s="16" t="s">
        <v>1166</v>
      </c>
      <c r="F357" s="16" t="s">
        <v>1168</v>
      </c>
      <c r="G357" s="147">
        <v>4</v>
      </c>
      <c r="H357" s="9"/>
      <c r="I357" s="10">
        <v>5000000</v>
      </c>
    </row>
    <row r="358" spans="1:9" ht="15.75" x14ac:dyDescent="0.25">
      <c r="A358" s="4">
        <v>356</v>
      </c>
      <c r="B358" s="5" t="s">
        <v>1169</v>
      </c>
      <c r="C358" s="6">
        <v>46130</v>
      </c>
      <c r="D358" s="11" t="s">
        <v>15</v>
      </c>
      <c r="E358" s="16" t="s">
        <v>386</v>
      </c>
      <c r="F358" s="13" t="s">
        <v>1170</v>
      </c>
      <c r="G358" s="147">
        <v>4</v>
      </c>
      <c r="H358" s="9" t="s">
        <v>1176</v>
      </c>
      <c r="I358" s="10">
        <v>7000000</v>
      </c>
    </row>
    <row r="359" spans="1:9" ht="15.75" x14ac:dyDescent="0.25">
      <c r="A359" s="4">
        <v>357</v>
      </c>
      <c r="B359" s="5" t="s">
        <v>1174</v>
      </c>
      <c r="C359" s="6">
        <v>46131</v>
      </c>
      <c r="D359" s="11" t="s">
        <v>15</v>
      </c>
      <c r="E359" s="16" t="s">
        <v>1175</v>
      </c>
      <c r="F359" s="13" t="s">
        <v>200</v>
      </c>
      <c r="G359" s="147">
        <v>4</v>
      </c>
      <c r="H359" s="9" t="s">
        <v>886</v>
      </c>
      <c r="I359" s="10">
        <v>2000000</v>
      </c>
    </row>
    <row r="360" spans="1:9" x14ac:dyDescent="0.25">
      <c r="A360" s="4">
        <v>358</v>
      </c>
      <c r="B360" s="5" t="s">
        <v>1180</v>
      </c>
      <c r="C360" s="6">
        <v>46131</v>
      </c>
      <c r="D360" s="11" t="s">
        <v>9</v>
      </c>
      <c r="E360" s="16" t="s">
        <v>1177</v>
      </c>
      <c r="F360" s="16" t="s">
        <v>1178</v>
      </c>
      <c r="G360" s="147">
        <v>4</v>
      </c>
      <c r="H360" s="9"/>
      <c r="I360" s="10">
        <v>3888000</v>
      </c>
    </row>
    <row r="361" spans="1:9" x14ac:dyDescent="0.25">
      <c r="A361" s="4">
        <v>359</v>
      </c>
      <c r="B361" s="5" t="s">
        <v>1181</v>
      </c>
      <c r="C361" s="6">
        <v>46131</v>
      </c>
      <c r="D361" s="11" t="s">
        <v>23</v>
      </c>
      <c r="E361" s="16" t="s">
        <v>167</v>
      </c>
      <c r="F361" s="16" t="s">
        <v>1183</v>
      </c>
      <c r="G361" s="147">
        <v>4</v>
      </c>
      <c r="H361" s="9"/>
      <c r="I361" s="10">
        <v>500000</v>
      </c>
    </row>
    <row r="362" spans="1:9" x14ac:dyDescent="0.25">
      <c r="A362" s="4">
        <v>360</v>
      </c>
      <c r="B362" s="5" t="s">
        <v>1182</v>
      </c>
      <c r="C362" s="6">
        <v>46131</v>
      </c>
      <c r="D362" s="11" t="s">
        <v>9</v>
      </c>
      <c r="E362" s="16" t="s">
        <v>13</v>
      </c>
      <c r="F362" s="16" t="s">
        <v>1179</v>
      </c>
      <c r="G362" s="147">
        <v>4</v>
      </c>
      <c r="H362" s="9"/>
      <c r="I362" s="10">
        <v>500000</v>
      </c>
    </row>
    <row r="363" spans="1:9" ht="15.75" x14ac:dyDescent="0.25">
      <c r="A363" s="4">
        <v>361</v>
      </c>
      <c r="B363" s="5" t="s">
        <v>1184</v>
      </c>
      <c r="C363" s="6">
        <v>46132</v>
      </c>
      <c r="D363" s="11" t="s">
        <v>21</v>
      </c>
      <c r="E363" s="16" t="s">
        <v>644</v>
      </c>
      <c r="F363" s="13" t="s">
        <v>1186</v>
      </c>
      <c r="G363" s="147">
        <v>4</v>
      </c>
      <c r="H363" s="9"/>
      <c r="I363" s="10">
        <v>200000</v>
      </c>
    </row>
    <row r="364" spans="1:9" x14ac:dyDescent="0.25">
      <c r="A364" s="4">
        <v>362</v>
      </c>
      <c r="B364" s="5" t="s">
        <v>1185</v>
      </c>
      <c r="C364" s="6">
        <v>46132</v>
      </c>
      <c r="D364" s="11" t="s">
        <v>23</v>
      </c>
      <c r="E364" s="16" t="s">
        <v>578</v>
      </c>
      <c r="F364" s="16" t="s">
        <v>168</v>
      </c>
      <c r="G364" s="147">
        <v>4</v>
      </c>
      <c r="H364" s="9"/>
      <c r="I364" s="10">
        <v>1000000</v>
      </c>
    </row>
    <row r="365" spans="1:9" ht="15.75" x14ac:dyDescent="0.25">
      <c r="A365" s="4">
        <v>363</v>
      </c>
      <c r="B365" s="5" t="s">
        <v>1188</v>
      </c>
      <c r="C365" s="6">
        <v>46132</v>
      </c>
      <c r="D365" s="11" t="s">
        <v>15</v>
      </c>
      <c r="E365" s="16" t="s">
        <v>391</v>
      </c>
      <c r="F365" s="13" t="s">
        <v>1189</v>
      </c>
      <c r="G365" s="147">
        <v>4</v>
      </c>
      <c r="H365" s="9" t="s">
        <v>886</v>
      </c>
      <c r="I365" s="10">
        <v>6000000</v>
      </c>
    </row>
    <row r="366" spans="1:9" x14ac:dyDescent="0.25">
      <c r="A366" s="4">
        <v>364</v>
      </c>
      <c r="B366" s="5" t="s">
        <v>1190</v>
      </c>
      <c r="C366" s="6">
        <v>46132</v>
      </c>
      <c r="D366" s="11" t="s">
        <v>9</v>
      </c>
      <c r="E366" s="16" t="s">
        <v>1191</v>
      </c>
      <c r="F366" s="16" t="s">
        <v>1192</v>
      </c>
      <c r="G366" s="147">
        <v>4</v>
      </c>
      <c r="H366" s="9"/>
      <c r="I366" s="10">
        <v>100000</v>
      </c>
    </row>
    <row r="367" spans="1:9" x14ac:dyDescent="0.25">
      <c r="A367" s="4">
        <v>365</v>
      </c>
      <c r="B367" s="5" t="s">
        <v>1193</v>
      </c>
      <c r="C367" s="6">
        <v>46132</v>
      </c>
      <c r="D367" s="11" t="s">
        <v>587</v>
      </c>
      <c r="E367" s="16" t="s">
        <v>1026</v>
      </c>
      <c r="F367" s="16" t="s">
        <v>1195</v>
      </c>
      <c r="G367" s="147">
        <v>4</v>
      </c>
      <c r="H367" s="9"/>
      <c r="I367" s="10">
        <v>6100000</v>
      </c>
    </row>
    <row r="368" spans="1:9" x14ac:dyDescent="0.25">
      <c r="A368" s="4">
        <v>366</v>
      </c>
      <c r="B368" s="5" t="s">
        <v>1194</v>
      </c>
      <c r="C368" s="6">
        <v>46132</v>
      </c>
      <c r="D368" s="11" t="s">
        <v>587</v>
      </c>
      <c r="E368" s="16" t="s">
        <v>1027</v>
      </c>
      <c r="F368" s="16" t="s">
        <v>1196</v>
      </c>
      <c r="G368" s="147">
        <v>4</v>
      </c>
      <c r="H368" s="9"/>
      <c r="I368" s="10">
        <v>5800000</v>
      </c>
    </row>
    <row r="369" spans="1:18" x14ac:dyDescent="0.25">
      <c r="A369" s="4">
        <v>367</v>
      </c>
      <c r="B369" s="5" t="s">
        <v>1197</v>
      </c>
      <c r="C369" s="6">
        <v>46132</v>
      </c>
      <c r="D369" s="11" t="s">
        <v>9</v>
      </c>
      <c r="E369" s="16" t="s">
        <v>13</v>
      </c>
      <c r="F369" s="16" t="s">
        <v>1198</v>
      </c>
      <c r="G369" s="147">
        <v>4</v>
      </c>
      <c r="H369" s="9"/>
      <c r="I369" s="10">
        <v>1000000</v>
      </c>
    </row>
    <row r="370" spans="1:18" x14ac:dyDescent="0.25">
      <c r="A370" s="4">
        <v>368</v>
      </c>
      <c r="B370" s="5" t="s">
        <v>1199</v>
      </c>
      <c r="C370" s="6">
        <v>46133</v>
      </c>
      <c r="D370" s="11" t="s">
        <v>9</v>
      </c>
      <c r="E370" s="16" t="s">
        <v>1200</v>
      </c>
      <c r="F370" s="16" t="s">
        <v>1201</v>
      </c>
      <c r="G370" s="147">
        <v>4</v>
      </c>
      <c r="H370" s="9"/>
      <c r="I370" s="10">
        <v>2500000</v>
      </c>
    </row>
    <row r="371" spans="1:18" x14ac:dyDescent="0.25">
      <c r="A371" s="4">
        <v>369</v>
      </c>
      <c r="B371" s="5" t="s">
        <v>1202</v>
      </c>
      <c r="C371" s="6">
        <v>46135</v>
      </c>
      <c r="D371" s="11" t="s">
        <v>9</v>
      </c>
      <c r="E371" s="16" t="s">
        <v>1173</v>
      </c>
      <c r="F371" s="16" t="s">
        <v>1208</v>
      </c>
      <c r="G371" s="147">
        <v>4</v>
      </c>
      <c r="H371" s="9"/>
      <c r="I371" s="10">
        <v>200000</v>
      </c>
    </row>
    <row r="372" spans="1:18" x14ac:dyDescent="0.25">
      <c r="A372" s="4">
        <v>370</v>
      </c>
      <c r="B372" s="5" t="s">
        <v>1203</v>
      </c>
      <c r="C372" s="6">
        <v>46135</v>
      </c>
      <c r="D372" s="11" t="s">
        <v>9</v>
      </c>
      <c r="E372" s="16" t="s">
        <v>17</v>
      </c>
      <c r="F372" s="16" t="s">
        <v>1209</v>
      </c>
      <c r="G372" s="147">
        <v>4</v>
      </c>
      <c r="H372" s="9"/>
      <c r="I372" s="10">
        <v>75000</v>
      </c>
    </row>
    <row r="373" spans="1:18" x14ac:dyDescent="0.25">
      <c r="A373" s="4">
        <v>371</v>
      </c>
      <c r="B373" s="5" t="s">
        <v>1204</v>
      </c>
      <c r="C373" s="6">
        <v>46135</v>
      </c>
      <c r="D373" s="11" t="s">
        <v>9</v>
      </c>
      <c r="E373" s="16" t="s">
        <v>17</v>
      </c>
      <c r="F373" s="16" t="s">
        <v>1210</v>
      </c>
      <c r="G373" s="147">
        <v>4</v>
      </c>
      <c r="H373" s="9"/>
      <c r="I373" s="10">
        <v>75000</v>
      </c>
      <c r="R373" s="156" t="s">
        <v>17</v>
      </c>
    </row>
    <row r="374" spans="1:18" x14ac:dyDescent="0.25">
      <c r="A374" s="4">
        <v>372</v>
      </c>
      <c r="B374" s="5" t="s">
        <v>1205</v>
      </c>
      <c r="C374" s="6">
        <v>46135</v>
      </c>
      <c r="D374" s="11" t="s">
        <v>9</v>
      </c>
      <c r="E374" s="16" t="s">
        <v>1111</v>
      </c>
      <c r="F374" s="16" t="s">
        <v>1114</v>
      </c>
      <c r="G374" s="147">
        <v>4</v>
      </c>
      <c r="H374" s="9"/>
      <c r="I374" s="10">
        <v>50000</v>
      </c>
      <c r="R374" s="158" t="s">
        <v>877</v>
      </c>
    </row>
    <row r="375" spans="1:18" x14ac:dyDescent="0.25">
      <c r="A375" s="4">
        <v>373</v>
      </c>
      <c r="B375" s="5" t="s">
        <v>1206</v>
      </c>
      <c r="C375" s="6">
        <v>46135</v>
      </c>
      <c r="D375" s="11" t="s">
        <v>9</v>
      </c>
      <c r="E375" s="16" t="s">
        <v>1111</v>
      </c>
      <c r="F375" s="16" t="s">
        <v>1211</v>
      </c>
      <c r="G375" s="147">
        <v>4</v>
      </c>
      <c r="H375" s="9"/>
      <c r="I375" s="10">
        <v>50000</v>
      </c>
      <c r="R375" s="158" t="s">
        <v>111</v>
      </c>
    </row>
    <row r="376" spans="1:18" x14ac:dyDescent="0.25">
      <c r="A376" s="4">
        <v>374</v>
      </c>
      <c r="B376" s="5" t="s">
        <v>1207</v>
      </c>
      <c r="C376" s="6">
        <v>46135</v>
      </c>
      <c r="D376" s="11" t="s">
        <v>9</v>
      </c>
      <c r="E376" s="16" t="s">
        <v>17</v>
      </c>
      <c r="F376" s="16" t="s">
        <v>1212</v>
      </c>
      <c r="G376" s="147">
        <v>4</v>
      </c>
      <c r="H376" s="9"/>
      <c r="I376" s="10">
        <v>100000</v>
      </c>
      <c r="R376" s="158" t="s">
        <v>196</v>
      </c>
    </row>
    <row r="377" spans="1:18" x14ac:dyDescent="0.25">
      <c r="A377" s="4">
        <v>375</v>
      </c>
      <c r="B377" s="5" t="s">
        <v>1213</v>
      </c>
      <c r="C377" s="6">
        <v>46135</v>
      </c>
      <c r="D377" s="11" t="s">
        <v>21</v>
      </c>
      <c r="E377" s="16" t="s">
        <v>102</v>
      </c>
      <c r="F377" s="16" t="s">
        <v>103</v>
      </c>
      <c r="G377" s="147">
        <v>4</v>
      </c>
      <c r="H377" s="9"/>
      <c r="I377" s="10">
        <v>23000</v>
      </c>
      <c r="R377" s="158" t="s">
        <v>832</v>
      </c>
    </row>
    <row r="378" spans="1:18" x14ac:dyDescent="0.25">
      <c r="A378" s="4">
        <v>376</v>
      </c>
      <c r="B378" s="5" t="s">
        <v>1214</v>
      </c>
      <c r="C378" s="6">
        <v>46135</v>
      </c>
      <c r="D378" s="11" t="s">
        <v>9</v>
      </c>
      <c r="E378" s="16" t="s">
        <v>1191</v>
      </c>
      <c r="F378" s="16" t="s">
        <v>1073</v>
      </c>
      <c r="G378" s="147">
        <v>4</v>
      </c>
      <c r="H378" s="9"/>
      <c r="I378" s="10">
        <v>150000</v>
      </c>
      <c r="R378" s="158" t="s">
        <v>829</v>
      </c>
    </row>
    <row r="379" spans="1:18" x14ac:dyDescent="0.25">
      <c r="A379" s="4">
        <v>377</v>
      </c>
      <c r="B379" s="5" t="s">
        <v>1215</v>
      </c>
      <c r="C379" s="6">
        <v>46138</v>
      </c>
      <c r="D379" s="11" t="s">
        <v>9</v>
      </c>
      <c r="E379" s="16" t="s">
        <v>13</v>
      </c>
      <c r="F379" s="16" t="s">
        <v>1218</v>
      </c>
      <c r="G379" s="147">
        <v>4</v>
      </c>
      <c r="H379" s="9"/>
      <c r="I379" s="10">
        <v>500000</v>
      </c>
      <c r="R379" s="158" t="s">
        <v>878</v>
      </c>
    </row>
    <row r="380" spans="1:18" x14ac:dyDescent="0.25">
      <c r="A380" s="4">
        <v>378</v>
      </c>
      <c r="B380" s="5" t="s">
        <v>1334</v>
      </c>
      <c r="C380" s="6">
        <v>46138</v>
      </c>
      <c r="D380" s="11" t="s">
        <v>26</v>
      </c>
      <c r="E380" s="16" t="s">
        <v>578</v>
      </c>
      <c r="F380" s="16" t="s">
        <v>1335</v>
      </c>
      <c r="G380" s="147">
        <v>4</v>
      </c>
      <c r="H380" s="9" t="s">
        <v>886</v>
      </c>
      <c r="I380" s="10">
        <v>2500000</v>
      </c>
      <c r="R380" s="181"/>
    </row>
    <row r="381" spans="1:18" x14ac:dyDescent="0.25">
      <c r="A381" s="4">
        <v>379</v>
      </c>
      <c r="B381" s="5" t="s">
        <v>1216</v>
      </c>
      <c r="C381" s="6">
        <v>46138</v>
      </c>
      <c r="D381" s="11" t="s">
        <v>9</v>
      </c>
      <c r="E381" s="16" t="s">
        <v>13</v>
      </c>
      <c r="F381" s="16" t="s">
        <v>1218</v>
      </c>
      <c r="G381" s="147">
        <v>4</v>
      </c>
      <c r="H381" s="9"/>
      <c r="I381" s="10">
        <v>500000</v>
      </c>
    </row>
    <row r="382" spans="1:18" x14ac:dyDescent="0.25">
      <c r="A382" s="4">
        <v>380</v>
      </c>
      <c r="B382" s="5" t="s">
        <v>1217</v>
      </c>
      <c r="C382" s="6">
        <v>46138</v>
      </c>
      <c r="D382" s="11" t="s">
        <v>9</v>
      </c>
      <c r="E382" s="16" t="s">
        <v>83</v>
      </c>
      <c r="F382" s="16" t="s">
        <v>1219</v>
      </c>
      <c r="G382" s="147">
        <v>4</v>
      </c>
      <c r="H382" s="9"/>
      <c r="I382" s="10">
        <v>2500000</v>
      </c>
    </row>
    <row r="383" spans="1:18" x14ac:dyDescent="0.25">
      <c r="A383" s="4">
        <v>381</v>
      </c>
      <c r="B383" s="5" t="s">
        <v>1220</v>
      </c>
      <c r="C383" s="6">
        <v>46141</v>
      </c>
      <c r="D383" s="11" t="s">
        <v>9</v>
      </c>
      <c r="E383" s="16" t="s">
        <v>1428</v>
      </c>
      <c r="F383" s="16" t="s">
        <v>1222</v>
      </c>
      <c r="G383" s="147">
        <v>4</v>
      </c>
      <c r="H383" s="9"/>
      <c r="I383" s="10">
        <v>150000</v>
      </c>
    </row>
    <row r="384" spans="1:18" x14ac:dyDescent="0.25">
      <c r="A384" s="4">
        <v>382</v>
      </c>
      <c r="B384" s="5" t="s">
        <v>1221</v>
      </c>
      <c r="C384" s="6">
        <v>46141</v>
      </c>
      <c r="D384" s="11" t="s">
        <v>9</v>
      </c>
      <c r="E384" s="16" t="s">
        <v>1200</v>
      </c>
      <c r="F384" s="16" t="s">
        <v>1223</v>
      </c>
      <c r="G384" s="147">
        <v>4</v>
      </c>
      <c r="H384" s="9"/>
      <c r="I384" s="10">
        <v>325000</v>
      </c>
    </row>
    <row r="385" spans="1:9" ht="15.75" x14ac:dyDescent="0.25">
      <c r="A385" s="4">
        <v>383</v>
      </c>
      <c r="B385" s="5" t="s">
        <v>1224</v>
      </c>
      <c r="C385" s="6">
        <v>46144</v>
      </c>
      <c r="D385" s="11" t="s">
        <v>15</v>
      </c>
      <c r="E385" s="16" t="s">
        <v>411</v>
      </c>
      <c r="F385" s="13" t="s">
        <v>1225</v>
      </c>
      <c r="G385" s="147">
        <v>5</v>
      </c>
      <c r="H385" s="9" t="s">
        <v>886</v>
      </c>
      <c r="I385" s="10">
        <v>6000000</v>
      </c>
    </row>
    <row r="386" spans="1:9" ht="15.75" x14ac:dyDescent="0.25">
      <c r="A386" s="4">
        <v>384</v>
      </c>
      <c r="B386" s="5" t="s">
        <v>1241</v>
      </c>
      <c r="C386" s="6">
        <v>46144</v>
      </c>
      <c r="D386" s="11" t="s">
        <v>15</v>
      </c>
      <c r="E386" s="16" t="s">
        <v>388</v>
      </c>
      <c r="F386" s="13" t="s">
        <v>1242</v>
      </c>
      <c r="G386" s="147">
        <v>5</v>
      </c>
      <c r="H386" s="9" t="s">
        <v>886</v>
      </c>
      <c r="I386" s="10">
        <v>6000000</v>
      </c>
    </row>
    <row r="387" spans="1:9" ht="15.75" x14ac:dyDescent="0.25">
      <c r="A387" s="4">
        <v>385</v>
      </c>
      <c r="B387" s="5" t="s">
        <v>1227</v>
      </c>
      <c r="C387" s="6">
        <v>46144</v>
      </c>
      <c r="D387" s="11" t="s">
        <v>9</v>
      </c>
      <c r="E387" s="16" t="s">
        <v>819</v>
      </c>
      <c r="F387" s="13" t="s">
        <v>1226</v>
      </c>
      <c r="G387" s="147">
        <v>5</v>
      </c>
      <c r="H387" s="9"/>
      <c r="I387" s="10">
        <v>200000</v>
      </c>
    </row>
    <row r="388" spans="1:9" x14ac:dyDescent="0.25">
      <c r="A388" s="4">
        <v>386</v>
      </c>
      <c r="B388" s="5" t="s">
        <v>1228</v>
      </c>
      <c r="C388" s="6">
        <v>46144</v>
      </c>
      <c r="D388" s="11" t="s">
        <v>9</v>
      </c>
      <c r="E388" s="16" t="s">
        <v>13</v>
      </c>
      <c r="F388" s="16" t="s">
        <v>1229</v>
      </c>
      <c r="G388" s="147">
        <v>5</v>
      </c>
      <c r="H388" s="9"/>
      <c r="I388" s="10">
        <v>400000</v>
      </c>
    </row>
    <row r="389" spans="1:9" x14ac:dyDescent="0.25">
      <c r="A389" s="4">
        <v>387</v>
      </c>
      <c r="B389" s="5" t="s">
        <v>1230</v>
      </c>
      <c r="C389" s="6">
        <v>46144</v>
      </c>
      <c r="D389" s="11" t="s">
        <v>9</v>
      </c>
      <c r="E389" s="16" t="s">
        <v>607</v>
      </c>
      <c r="F389" s="16" t="s">
        <v>1240</v>
      </c>
      <c r="G389" s="147">
        <v>5</v>
      </c>
      <c r="H389" s="9"/>
      <c r="I389" s="10">
        <v>700000</v>
      </c>
    </row>
    <row r="390" spans="1:9" x14ac:dyDescent="0.25">
      <c r="A390" s="4">
        <v>388</v>
      </c>
      <c r="B390" s="5" t="s">
        <v>1231</v>
      </c>
      <c r="C390" s="6">
        <v>46144</v>
      </c>
      <c r="D390" s="11" t="s">
        <v>9</v>
      </c>
      <c r="E390" s="16" t="s">
        <v>607</v>
      </c>
      <c r="F390" s="16" t="s">
        <v>1244</v>
      </c>
      <c r="G390" s="147">
        <v>5</v>
      </c>
      <c r="H390" s="9"/>
      <c r="I390" s="10">
        <v>1400000</v>
      </c>
    </row>
    <row r="391" spans="1:9" x14ac:dyDescent="0.25">
      <c r="A391" s="4">
        <v>389</v>
      </c>
      <c r="B391" s="5" t="s">
        <v>1232</v>
      </c>
      <c r="C391" s="6">
        <v>46144</v>
      </c>
      <c r="D391" s="11" t="s">
        <v>9</v>
      </c>
      <c r="E391" s="16" t="s">
        <v>607</v>
      </c>
      <c r="F391" s="16" t="s">
        <v>1245</v>
      </c>
      <c r="G391" s="147">
        <v>5</v>
      </c>
      <c r="H391" s="9"/>
      <c r="I391" s="10">
        <v>1140000</v>
      </c>
    </row>
    <row r="392" spans="1:9" x14ac:dyDescent="0.25">
      <c r="A392" s="4">
        <v>390</v>
      </c>
      <c r="B392" s="5" t="s">
        <v>1233</v>
      </c>
      <c r="C392" s="6">
        <v>46144</v>
      </c>
      <c r="D392" s="11" t="s">
        <v>9</v>
      </c>
      <c r="E392" s="16" t="s">
        <v>607</v>
      </c>
      <c r="F392" s="16" t="s">
        <v>1243</v>
      </c>
      <c r="G392" s="147">
        <v>5</v>
      </c>
      <c r="H392" s="9"/>
      <c r="I392" s="10">
        <v>300000</v>
      </c>
    </row>
    <row r="393" spans="1:9" x14ac:dyDescent="0.25">
      <c r="A393" s="4">
        <v>391</v>
      </c>
      <c r="B393" s="5" t="s">
        <v>1234</v>
      </c>
      <c r="C393" s="6">
        <v>46144</v>
      </c>
      <c r="D393" s="11" t="s">
        <v>9</v>
      </c>
      <c r="E393" s="16" t="s">
        <v>607</v>
      </c>
      <c r="F393" s="16" t="s">
        <v>1246</v>
      </c>
      <c r="G393" s="147">
        <v>5</v>
      </c>
      <c r="H393" s="9"/>
      <c r="I393" s="10">
        <v>1990000</v>
      </c>
    </row>
    <row r="394" spans="1:9" x14ac:dyDescent="0.25">
      <c r="A394" s="4">
        <v>392</v>
      </c>
      <c r="B394" s="5" t="s">
        <v>1235</v>
      </c>
      <c r="C394" s="6">
        <v>46144</v>
      </c>
      <c r="D394" s="11" t="s">
        <v>9</v>
      </c>
      <c r="E394" s="16" t="s">
        <v>1256</v>
      </c>
      <c r="F394" s="16" t="s">
        <v>1247</v>
      </c>
      <c r="G394" s="147">
        <v>5</v>
      </c>
      <c r="H394" s="9"/>
      <c r="I394" s="10">
        <v>300000</v>
      </c>
    </row>
    <row r="395" spans="1:9" x14ac:dyDescent="0.25">
      <c r="A395" s="4">
        <v>393</v>
      </c>
      <c r="B395" s="5" t="s">
        <v>1236</v>
      </c>
      <c r="C395" s="6">
        <v>46144</v>
      </c>
      <c r="D395" s="11" t="s">
        <v>9</v>
      </c>
      <c r="E395" s="16" t="s">
        <v>1249</v>
      </c>
      <c r="F395" s="16" t="s">
        <v>1248</v>
      </c>
      <c r="G395" s="147">
        <v>5</v>
      </c>
      <c r="H395" s="9"/>
      <c r="I395" s="10">
        <v>1000000</v>
      </c>
    </row>
    <row r="396" spans="1:9" x14ac:dyDescent="0.25">
      <c r="A396" s="4">
        <v>394</v>
      </c>
      <c r="B396" s="5" t="s">
        <v>1237</v>
      </c>
      <c r="C396" s="6">
        <v>46144</v>
      </c>
      <c r="D396" s="11" t="s">
        <v>9</v>
      </c>
      <c r="E396" s="16" t="s">
        <v>1251</v>
      </c>
      <c r="F396" s="16" t="s">
        <v>1250</v>
      </c>
      <c r="G396" s="147">
        <v>5</v>
      </c>
      <c r="H396" s="9"/>
      <c r="I396" s="10">
        <v>250000</v>
      </c>
    </row>
    <row r="397" spans="1:9" x14ac:dyDescent="0.25">
      <c r="A397" s="4">
        <v>395</v>
      </c>
      <c r="B397" s="5" t="s">
        <v>1238</v>
      </c>
      <c r="C397" s="6">
        <v>46144</v>
      </c>
      <c r="D397" s="11" t="s">
        <v>9</v>
      </c>
      <c r="E397" s="16" t="s">
        <v>1251</v>
      </c>
      <c r="F397" s="16" t="s">
        <v>1252</v>
      </c>
      <c r="G397" s="147">
        <v>5</v>
      </c>
      <c r="H397" s="9"/>
      <c r="I397" s="10">
        <v>250000</v>
      </c>
    </row>
    <row r="398" spans="1:9" x14ac:dyDescent="0.25">
      <c r="A398" s="4">
        <v>396</v>
      </c>
      <c r="B398" s="5" t="s">
        <v>1239</v>
      </c>
      <c r="C398" s="6">
        <v>46144</v>
      </c>
      <c r="D398" s="11" t="s">
        <v>21</v>
      </c>
      <c r="E398" s="16" t="s">
        <v>1253</v>
      </c>
      <c r="F398" s="16" t="s">
        <v>103</v>
      </c>
      <c r="G398" s="147">
        <v>5</v>
      </c>
      <c r="H398" s="9"/>
      <c r="I398" s="10">
        <v>30000</v>
      </c>
    </row>
    <row r="399" spans="1:9" x14ac:dyDescent="0.25">
      <c r="A399" s="4">
        <v>397</v>
      </c>
      <c r="B399" s="5" t="s">
        <v>1254</v>
      </c>
      <c r="C399" s="6">
        <v>46144</v>
      </c>
      <c r="D399" s="11" t="s">
        <v>21</v>
      </c>
      <c r="E399" s="16" t="s">
        <v>102</v>
      </c>
      <c r="F399" s="16" t="s">
        <v>1255</v>
      </c>
      <c r="G399" s="147">
        <v>5</v>
      </c>
      <c r="H399" s="9"/>
      <c r="I399" s="10">
        <v>100000</v>
      </c>
    </row>
    <row r="400" spans="1:9" x14ac:dyDescent="0.25">
      <c r="A400" s="4">
        <v>398</v>
      </c>
      <c r="B400" s="5" t="s">
        <v>1257</v>
      </c>
      <c r="C400" s="6">
        <v>46145</v>
      </c>
      <c r="D400" s="11" t="s">
        <v>9</v>
      </c>
      <c r="E400" s="16" t="s">
        <v>114</v>
      </c>
      <c r="F400" s="16" t="s">
        <v>1258</v>
      </c>
      <c r="G400" s="147">
        <v>5</v>
      </c>
      <c r="H400" s="9"/>
      <c r="I400" s="10">
        <v>900000</v>
      </c>
    </row>
    <row r="401" spans="1:9" x14ac:dyDescent="0.25">
      <c r="A401" s="4">
        <v>399</v>
      </c>
      <c r="B401" s="5" t="s">
        <v>1264</v>
      </c>
      <c r="C401" s="6">
        <v>46145</v>
      </c>
      <c r="D401" s="11" t="s">
        <v>9</v>
      </c>
      <c r="E401" s="16" t="s">
        <v>1262</v>
      </c>
      <c r="F401" s="16" t="s">
        <v>1263</v>
      </c>
      <c r="G401" s="147">
        <v>5</v>
      </c>
      <c r="H401" s="9"/>
      <c r="I401" s="10">
        <v>300000</v>
      </c>
    </row>
    <row r="402" spans="1:9" x14ac:dyDescent="0.25">
      <c r="A402" s="4">
        <v>400</v>
      </c>
      <c r="B402" s="5" t="s">
        <v>1265</v>
      </c>
      <c r="C402" s="6">
        <v>46145</v>
      </c>
      <c r="D402" s="11" t="s">
        <v>9</v>
      </c>
      <c r="E402" s="16" t="s">
        <v>1261</v>
      </c>
      <c r="F402" s="16" t="s">
        <v>1260</v>
      </c>
      <c r="G402" s="147">
        <v>5</v>
      </c>
      <c r="H402" s="9"/>
      <c r="I402" s="10">
        <v>75000</v>
      </c>
    </row>
    <row r="403" spans="1:9" x14ac:dyDescent="0.25">
      <c r="A403" s="4">
        <v>401</v>
      </c>
      <c r="B403" s="5" t="s">
        <v>1267</v>
      </c>
      <c r="C403" s="6">
        <v>46146</v>
      </c>
      <c r="D403" s="11" t="s">
        <v>587</v>
      </c>
      <c r="E403" s="16" t="s">
        <v>1274</v>
      </c>
      <c r="F403" s="16" t="s">
        <v>1286</v>
      </c>
      <c r="G403" s="147">
        <v>5</v>
      </c>
      <c r="H403" s="9"/>
      <c r="I403" s="10">
        <v>2500000</v>
      </c>
    </row>
    <row r="404" spans="1:9" x14ac:dyDescent="0.25">
      <c r="A404" s="4">
        <v>402</v>
      </c>
      <c r="B404" s="5" t="s">
        <v>1268</v>
      </c>
      <c r="C404" s="6">
        <v>46146</v>
      </c>
      <c r="D404" s="11" t="s">
        <v>587</v>
      </c>
      <c r="E404" s="16" t="s">
        <v>1275</v>
      </c>
      <c r="F404" s="16" t="s">
        <v>1286</v>
      </c>
      <c r="G404" s="147">
        <v>5</v>
      </c>
      <c r="H404" s="9"/>
      <c r="I404" s="10">
        <v>650000</v>
      </c>
    </row>
    <row r="405" spans="1:9" x14ac:dyDescent="0.25">
      <c r="A405" s="4">
        <v>403</v>
      </c>
      <c r="B405" s="5" t="s">
        <v>1269</v>
      </c>
      <c r="C405" s="6">
        <v>46146</v>
      </c>
      <c r="D405" s="11" t="s">
        <v>587</v>
      </c>
      <c r="E405" s="16" t="s">
        <v>55</v>
      </c>
      <c r="F405" s="16" t="s">
        <v>1286</v>
      </c>
      <c r="G405" s="147">
        <v>5</v>
      </c>
      <c r="H405" s="9"/>
      <c r="I405" s="10">
        <v>500000</v>
      </c>
    </row>
    <row r="406" spans="1:9" x14ac:dyDescent="0.25">
      <c r="A406" s="4">
        <v>404</v>
      </c>
      <c r="B406" s="5" t="s">
        <v>1270</v>
      </c>
      <c r="C406" s="6">
        <v>46146</v>
      </c>
      <c r="D406" s="11" t="s">
        <v>587</v>
      </c>
      <c r="E406" s="16" t="s">
        <v>989</v>
      </c>
      <c r="F406" s="16" t="s">
        <v>1286</v>
      </c>
      <c r="G406" s="147">
        <v>5</v>
      </c>
      <c r="H406" s="9"/>
      <c r="I406" s="10">
        <v>500000</v>
      </c>
    </row>
    <row r="407" spans="1:9" x14ac:dyDescent="0.25">
      <c r="A407" s="4">
        <v>405</v>
      </c>
      <c r="B407" s="5" t="s">
        <v>1271</v>
      </c>
      <c r="C407" s="6">
        <v>46146</v>
      </c>
      <c r="D407" s="11" t="s">
        <v>587</v>
      </c>
      <c r="E407" s="16" t="s">
        <v>1253</v>
      </c>
      <c r="F407" s="16" t="s">
        <v>1286</v>
      </c>
      <c r="G407" s="147">
        <v>5</v>
      </c>
      <c r="H407" s="9"/>
      <c r="I407" s="10">
        <v>500000</v>
      </c>
    </row>
    <row r="408" spans="1:9" x14ac:dyDescent="0.25">
      <c r="A408" s="4">
        <v>406</v>
      </c>
      <c r="B408" s="5" t="s">
        <v>1272</v>
      </c>
      <c r="C408" s="6">
        <v>46146</v>
      </c>
      <c r="D408" s="11" t="s">
        <v>587</v>
      </c>
      <c r="E408" s="16" t="s">
        <v>1023</v>
      </c>
      <c r="F408" s="16" t="s">
        <v>1286</v>
      </c>
      <c r="G408" s="147">
        <v>5</v>
      </c>
      <c r="H408" s="9"/>
      <c r="I408" s="10">
        <v>500000</v>
      </c>
    </row>
    <row r="409" spans="1:9" x14ac:dyDescent="0.25">
      <c r="A409" s="4">
        <v>407</v>
      </c>
      <c r="B409" s="5" t="s">
        <v>1273</v>
      </c>
      <c r="C409" s="6">
        <v>46146</v>
      </c>
      <c r="D409" s="11" t="s">
        <v>587</v>
      </c>
      <c r="E409" s="16" t="s">
        <v>1276</v>
      </c>
      <c r="F409" s="16" t="s">
        <v>1287</v>
      </c>
      <c r="G409" s="147">
        <v>5</v>
      </c>
      <c r="H409" s="9"/>
      <c r="I409" s="10">
        <v>700000</v>
      </c>
    </row>
    <row r="410" spans="1:9" x14ac:dyDescent="0.25">
      <c r="A410" s="4">
        <v>408</v>
      </c>
      <c r="B410" s="5" t="s">
        <v>1277</v>
      </c>
      <c r="C410" s="6">
        <v>46146</v>
      </c>
      <c r="D410" s="11" t="s">
        <v>587</v>
      </c>
      <c r="E410" s="16" t="s">
        <v>1285</v>
      </c>
      <c r="F410" s="16" t="s">
        <v>1287</v>
      </c>
      <c r="G410" s="147">
        <v>5</v>
      </c>
      <c r="H410" s="9"/>
      <c r="I410" s="10">
        <v>750000</v>
      </c>
    </row>
    <row r="411" spans="1:9" x14ac:dyDescent="0.25">
      <c r="A411" s="4">
        <v>409</v>
      </c>
      <c r="B411" s="5" t="s">
        <v>1278</v>
      </c>
      <c r="C411" s="6">
        <v>46146</v>
      </c>
      <c r="D411" s="11" t="s">
        <v>587</v>
      </c>
      <c r="E411" s="16" t="s">
        <v>97</v>
      </c>
      <c r="F411" s="16" t="s">
        <v>1287</v>
      </c>
      <c r="G411" s="147">
        <v>5</v>
      </c>
      <c r="H411" s="9"/>
      <c r="I411" s="10">
        <v>1000000</v>
      </c>
    </row>
    <row r="412" spans="1:9" x14ac:dyDescent="0.25">
      <c r="A412" s="4">
        <v>410</v>
      </c>
      <c r="B412" s="5" t="s">
        <v>1279</v>
      </c>
      <c r="C412" s="6">
        <v>46146</v>
      </c>
      <c r="D412" s="11" t="s">
        <v>587</v>
      </c>
      <c r="E412" s="16" t="s">
        <v>92</v>
      </c>
      <c r="F412" s="16" t="s">
        <v>1287</v>
      </c>
      <c r="G412" s="147">
        <v>5</v>
      </c>
      <c r="H412" s="9"/>
      <c r="I412" s="10">
        <v>1500000</v>
      </c>
    </row>
    <row r="413" spans="1:9" x14ac:dyDescent="0.25">
      <c r="A413" s="4">
        <v>411</v>
      </c>
      <c r="B413" s="5" t="s">
        <v>1280</v>
      </c>
      <c r="C413" s="6">
        <v>46146</v>
      </c>
      <c r="D413" s="11" t="s">
        <v>587</v>
      </c>
      <c r="E413" s="16" t="s">
        <v>1284</v>
      </c>
      <c r="F413" s="16" t="s">
        <v>1287</v>
      </c>
      <c r="G413" s="147">
        <v>5</v>
      </c>
      <c r="H413" s="9"/>
      <c r="I413" s="10">
        <v>600000</v>
      </c>
    </row>
    <row r="414" spans="1:9" x14ac:dyDescent="0.25">
      <c r="A414" s="4">
        <v>412</v>
      </c>
      <c r="B414" s="5" t="s">
        <v>1281</v>
      </c>
      <c r="C414" s="6">
        <v>46146</v>
      </c>
      <c r="D414" s="11" t="s">
        <v>587</v>
      </c>
      <c r="E414" s="16" t="s">
        <v>1283</v>
      </c>
      <c r="F414" s="16" t="s">
        <v>1286</v>
      </c>
      <c r="G414" s="147">
        <v>5</v>
      </c>
      <c r="H414" s="9"/>
      <c r="I414" s="10">
        <v>650000</v>
      </c>
    </row>
    <row r="415" spans="1:9" x14ac:dyDescent="0.25">
      <c r="A415" s="4">
        <v>413</v>
      </c>
      <c r="B415" s="5" t="s">
        <v>1282</v>
      </c>
      <c r="C415" s="6">
        <v>46146</v>
      </c>
      <c r="D415" s="11" t="s">
        <v>587</v>
      </c>
      <c r="E415" s="16" t="s">
        <v>1067</v>
      </c>
      <c r="F415" s="16" t="s">
        <v>1287</v>
      </c>
      <c r="G415" s="147">
        <v>5</v>
      </c>
      <c r="H415" s="9"/>
      <c r="I415" s="10">
        <v>400000</v>
      </c>
    </row>
    <row r="416" spans="1:9" x14ac:dyDescent="0.25">
      <c r="A416" s="4">
        <v>414</v>
      </c>
      <c r="B416" s="5" t="s">
        <v>1288</v>
      </c>
      <c r="C416" s="6">
        <v>46146</v>
      </c>
      <c r="D416" s="11" t="s">
        <v>21</v>
      </c>
      <c r="E416" s="16" t="s">
        <v>1295</v>
      </c>
      <c r="F416" s="16" t="s">
        <v>1294</v>
      </c>
      <c r="G416" s="147">
        <v>5</v>
      </c>
      <c r="H416" s="9"/>
      <c r="I416" s="10">
        <v>500000</v>
      </c>
    </row>
    <row r="417" spans="1:9" x14ac:dyDescent="0.25">
      <c r="A417" s="4">
        <v>415</v>
      </c>
      <c r="B417" s="5" t="s">
        <v>1289</v>
      </c>
      <c r="C417" s="6">
        <v>46146</v>
      </c>
      <c r="D417" s="11" t="s">
        <v>21</v>
      </c>
      <c r="E417" s="47" t="s">
        <v>1296</v>
      </c>
      <c r="F417" s="47" t="s">
        <v>1297</v>
      </c>
      <c r="G417" s="147">
        <v>5</v>
      </c>
      <c r="H417" s="9"/>
      <c r="I417" s="10">
        <v>250000</v>
      </c>
    </row>
    <row r="418" spans="1:9" x14ac:dyDescent="0.25">
      <c r="A418" s="4">
        <v>416</v>
      </c>
      <c r="B418" s="5" t="s">
        <v>1290</v>
      </c>
      <c r="C418" s="6">
        <v>46146</v>
      </c>
      <c r="D418" s="11" t="s">
        <v>21</v>
      </c>
      <c r="E418" s="47" t="s">
        <v>1299</v>
      </c>
      <c r="F418" s="47" t="s">
        <v>1298</v>
      </c>
      <c r="G418" s="147">
        <v>5</v>
      </c>
      <c r="H418" s="9"/>
      <c r="I418" s="10">
        <v>200000</v>
      </c>
    </row>
    <row r="419" spans="1:9" x14ac:dyDescent="0.25">
      <c r="A419" s="4">
        <v>417</v>
      </c>
      <c r="B419" s="5" t="s">
        <v>1291</v>
      </c>
      <c r="C419" s="6">
        <v>46146</v>
      </c>
      <c r="D419" s="11" t="s">
        <v>9</v>
      </c>
      <c r="E419" s="47" t="s">
        <v>1300</v>
      </c>
      <c r="F419" s="47" t="s">
        <v>125</v>
      </c>
      <c r="G419" s="147">
        <v>5</v>
      </c>
      <c r="H419" s="9"/>
      <c r="I419" s="10">
        <v>150000</v>
      </c>
    </row>
    <row r="420" spans="1:9" x14ac:dyDescent="0.25">
      <c r="A420" s="4">
        <v>418</v>
      </c>
      <c r="B420" s="5" t="s">
        <v>1292</v>
      </c>
      <c r="C420" s="6">
        <v>46146</v>
      </c>
      <c r="D420" s="11" t="s">
        <v>9</v>
      </c>
      <c r="E420" s="47" t="s">
        <v>1301</v>
      </c>
      <c r="F420" s="47" t="s">
        <v>1302</v>
      </c>
      <c r="G420" s="147">
        <v>5</v>
      </c>
      <c r="H420" s="9"/>
      <c r="I420" s="10">
        <v>125000</v>
      </c>
    </row>
    <row r="421" spans="1:9" x14ac:dyDescent="0.25">
      <c r="A421" s="4">
        <v>419</v>
      </c>
      <c r="B421" s="5" t="s">
        <v>1293</v>
      </c>
      <c r="C421" s="6">
        <v>46146</v>
      </c>
      <c r="D421" s="11" t="s">
        <v>9</v>
      </c>
      <c r="E421" s="47" t="s">
        <v>1428</v>
      </c>
      <c r="F421" s="47" t="s">
        <v>1303</v>
      </c>
      <c r="G421" s="147">
        <v>5</v>
      </c>
      <c r="H421" s="9"/>
      <c r="I421" s="10">
        <v>100000</v>
      </c>
    </row>
    <row r="422" spans="1:9" x14ac:dyDescent="0.25">
      <c r="A422" s="4">
        <v>420</v>
      </c>
      <c r="B422" s="5" t="s">
        <v>1304</v>
      </c>
      <c r="C422" s="6">
        <v>46146</v>
      </c>
      <c r="D422" s="11" t="s">
        <v>9</v>
      </c>
      <c r="E422" s="47" t="s">
        <v>97</v>
      </c>
      <c r="F422" s="47" t="s">
        <v>9</v>
      </c>
      <c r="G422" s="147">
        <v>5</v>
      </c>
      <c r="H422" s="9"/>
      <c r="I422" s="10">
        <v>1930000</v>
      </c>
    </row>
    <row r="423" spans="1:9" x14ac:dyDescent="0.25">
      <c r="A423" s="4">
        <v>421</v>
      </c>
      <c r="B423" s="5" t="s">
        <v>1305</v>
      </c>
      <c r="C423" s="6">
        <v>46146</v>
      </c>
      <c r="D423" s="11" t="s">
        <v>9</v>
      </c>
      <c r="E423" s="47" t="s">
        <v>97</v>
      </c>
      <c r="F423" s="47" t="s">
        <v>9</v>
      </c>
      <c r="G423" s="147">
        <v>5</v>
      </c>
      <c r="H423" s="9"/>
      <c r="I423" s="10">
        <v>872000</v>
      </c>
    </row>
    <row r="424" spans="1:9" x14ac:dyDescent="0.25">
      <c r="A424" s="4">
        <v>422</v>
      </c>
      <c r="B424" s="5" t="s">
        <v>1306</v>
      </c>
      <c r="C424" s="6">
        <v>46146</v>
      </c>
      <c r="D424" s="11" t="s">
        <v>21</v>
      </c>
      <c r="E424" s="47" t="s">
        <v>1011</v>
      </c>
      <c r="F424" s="47" t="s">
        <v>1308</v>
      </c>
      <c r="G424" s="147">
        <v>5</v>
      </c>
      <c r="H424" s="9"/>
      <c r="I424" s="10">
        <v>175000</v>
      </c>
    </row>
    <row r="425" spans="1:9" x14ac:dyDescent="0.25">
      <c r="A425" s="4">
        <v>423</v>
      </c>
      <c r="B425" s="5" t="s">
        <v>1307</v>
      </c>
      <c r="C425" s="6">
        <v>46146</v>
      </c>
      <c r="D425" s="11" t="s">
        <v>9</v>
      </c>
      <c r="E425" s="47" t="s">
        <v>89</v>
      </c>
      <c r="F425" s="47" t="s">
        <v>1469</v>
      </c>
      <c r="G425" s="147">
        <v>5</v>
      </c>
      <c r="H425" s="9" t="s">
        <v>1468</v>
      </c>
      <c r="I425" s="10">
        <v>4500000</v>
      </c>
    </row>
    <row r="426" spans="1:9" x14ac:dyDescent="0.25">
      <c r="A426" s="4">
        <v>424</v>
      </c>
      <c r="B426" s="5" t="s">
        <v>1309</v>
      </c>
      <c r="C426" s="6">
        <v>46147</v>
      </c>
      <c r="D426" s="11" t="s">
        <v>587</v>
      </c>
      <c r="E426" s="16" t="s">
        <v>1317</v>
      </c>
      <c r="F426" s="16" t="s">
        <v>1286</v>
      </c>
      <c r="G426" s="147">
        <v>5</v>
      </c>
      <c r="H426" s="9"/>
      <c r="I426" s="10">
        <v>300000</v>
      </c>
    </row>
    <row r="427" spans="1:9" x14ac:dyDescent="0.25">
      <c r="A427" s="4">
        <v>425</v>
      </c>
      <c r="B427" s="5" t="s">
        <v>1310</v>
      </c>
      <c r="C427" s="6">
        <v>46147</v>
      </c>
      <c r="D427" s="11" t="s">
        <v>587</v>
      </c>
      <c r="E427" s="16" t="s">
        <v>1318</v>
      </c>
      <c r="F427" s="16" t="s">
        <v>1286</v>
      </c>
      <c r="G427" s="147">
        <v>5</v>
      </c>
      <c r="H427" s="9"/>
      <c r="I427" s="10">
        <v>500000</v>
      </c>
    </row>
    <row r="428" spans="1:9" x14ac:dyDescent="0.25">
      <c r="A428" s="4">
        <v>426</v>
      </c>
      <c r="B428" s="5" t="s">
        <v>1311</v>
      </c>
      <c r="C428" s="6">
        <v>46147</v>
      </c>
      <c r="D428" s="11" t="s">
        <v>587</v>
      </c>
      <c r="E428" s="16" t="s">
        <v>25</v>
      </c>
      <c r="F428" s="16" t="s">
        <v>1287</v>
      </c>
      <c r="G428" s="147">
        <v>5</v>
      </c>
      <c r="H428" s="9"/>
      <c r="I428" s="10">
        <v>450000</v>
      </c>
    </row>
    <row r="429" spans="1:9" x14ac:dyDescent="0.25">
      <c r="A429" s="4">
        <v>427</v>
      </c>
      <c r="B429" s="5" t="s">
        <v>1312</v>
      </c>
      <c r="C429" s="6">
        <v>46147</v>
      </c>
      <c r="D429" s="11" t="s">
        <v>587</v>
      </c>
      <c r="E429" s="16" t="s">
        <v>1319</v>
      </c>
      <c r="F429" s="16" t="s">
        <v>1287</v>
      </c>
      <c r="G429" s="147">
        <v>5</v>
      </c>
      <c r="H429" s="9"/>
      <c r="I429" s="10">
        <v>300000</v>
      </c>
    </row>
    <row r="430" spans="1:9" x14ac:dyDescent="0.25">
      <c r="A430" s="4">
        <v>428</v>
      </c>
      <c r="B430" s="5" t="s">
        <v>1734</v>
      </c>
      <c r="C430" s="6">
        <v>46147</v>
      </c>
      <c r="D430" s="11" t="s">
        <v>26</v>
      </c>
      <c r="E430" s="16" t="s">
        <v>578</v>
      </c>
      <c r="F430" s="16" t="s">
        <v>1327</v>
      </c>
      <c r="G430" s="147">
        <v>5</v>
      </c>
      <c r="H430" s="9" t="s">
        <v>886</v>
      </c>
      <c r="I430" s="10">
        <v>2000000</v>
      </c>
    </row>
    <row r="431" spans="1:9" x14ac:dyDescent="0.25">
      <c r="A431" s="4">
        <v>429</v>
      </c>
      <c r="B431" s="5" t="s">
        <v>1314</v>
      </c>
      <c r="C431" s="6">
        <v>46147</v>
      </c>
      <c r="D431" s="11" t="s">
        <v>9</v>
      </c>
      <c r="E431" s="16" t="s">
        <v>1320</v>
      </c>
      <c r="F431" s="16" t="s">
        <v>1219</v>
      </c>
      <c r="G431" s="147">
        <v>5</v>
      </c>
      <c r="H431" s="9"/>
      <c r="I431" s="10">
        <v>2000000</v>
      </c>
    </row>
    <row r="432" spans="1:9" x14ac:dyDescent="0.25">
      <c r="A432" s="4">
        <v>430</v>
      </c>
      <c r="B432" s="5" t="s">
        <v>1315</v>
      </c>
      <c r="C432" s="6">
        <v>46147</v>
      </c>
      <c r="D432" s="11" t="s">
        <v>21</v>
      </c>
      <c r="E432" s="16" t="s">
        <v>1253</v>
      </c>
      <c r="F432" s="16" t="s">
        <v>103</v>
      </c>
      <c r="G432" s="147">
        <v>5</v>
      </c>
      <c r="H432" s="9"/>
      <c r="I432" s="10">
        <v>101000</v>
      </c>
    </row>
    <row r="433" spans="1:9" x14ac:dyDescent="0.25">
      <c r="A433" s="4">
        <v>431</v>
      </c>
      <c r="B433" s="5" t="s">
        <v>1316</v>
      </c>
      <c r="C433" s="6">
        <v>46147</v>
      </c>
      <c r="D433" s="11" t="s">
        <v>9</v>
      </c>
      <c r="E433" s="16" t="s">
        <v>1321</v>
      </c>
      <c r="F433" s="16" t="s">
        <v>569</v>
      </c>
      <c r="G433" s="147">
        <v>5</v>
      </c>
      <c r="H433" s="9"/>
      <c r="I433" s="10">
        <v>500000</v>
      </c>
    </row>
    <row r="434" spans="1:9" ht="15.75" x14ac:dyDescent="0.25">
      <c r="A434" s="4">
        <v>432</v>
      </c>
      <c r="B434" s="5" t="s">
        <v>1323</v>
      </c>
      <c r="C434" s="6">
        <v>46148</v>
      </c>
      <c r="D434" s="11" t="s">
        <v>15</v>
      </c>
      <c r="E434" s="16" t="s">
        <v>372</v>
      </c>
      <c r="F434" s="180" t="s">
        <v>1325</v>
      </c>
      <c r="G434" s="147">
        <v>5</v>
      </c>
      <c r="H434" s="9" t="s">
        <v>886</v>
      </c>
      <c r="I434" s="10">
        <v>6000000</v>
      </c>
    </row>
    <row r="435" spans="1:9" ht="15.75" x14ac:dyDescent="0.25">
      <c r="A435" s="4">
        <v>433</v>
      </c>
      <c r="B435" s="5" t="s">
        <v>1324</v>
      </c>
      <c r="C435" s="6">
        <v>46148</v>
      </c>
      <c r="D435" s="11" t="s">
        <v>15</v>
      </c>
      <c r="E435" s="16" t="s">
        <v>374</v>
      </c>
      <c r="F435" s="180" t="s">
        <v>1326</v>
      </c>
      <c r="G435" s="147">
        <v>5</v>
      </c>
      <c r="H435" s="9" t="s">
        <v>886</v>
      </c>
      <c r="I435" s="10">
        <v>3000000</v>
      </c>
    </row>
    <row r="436" spans="1:9" x14ac:dyDescent="0.25">
      <c r="A436" s="4">
        <v>434</v>
      </c>
      <c r="B436" s="5" t="s">
        <v>1328</v>
      </c>
      <c r="C436" s="6">
        <v>46148</v>
      </c>
      <c r="D436" s="11" t="s">
        <v>21</v>
      </c>
      <c r="E436" s="16" t="s">
        <v>526</v>
      </c>
      <c r="F436" s="16" t="s">
        <v>1330</v>
      </c>
      <c r="G436" s="147">
        <v>5</v>
      </c>
      <c r="H436" s="9"/>
      <c r="I436" s="10">
        <v>10000000</v>
      </c>
    </row>
    <row r="437" spans="1:9" x14ac:dyDescent="0.25">
      <c r="A437" s="4">
        <v>435</v>
      </c>
      <c r="B437" s="5" t="s">
        <v>1329</v>
      </c>
      <c r="C437" s="6">
        <v>46148</v>
      </c>
      <c r="D437" s="11" t="s">
        <v>26</v>
      </c>
      <c r="E437" s="16" t="s">
        <v>578</v>
      </c>
      <c r="F437" s="16" t="s">
        <v>1331</v>
      </c>
      <c r="G437" s="147">
        <v>5</v>
      </c>
      <c r="H437" s="9" t="s">
        <v>886</v>
      </c>
      <c r="I437" s="10">
        <v>1000000</v>
      </c>
    </row>
    <row r="438" spans="1:9" x14ac:dyDescent="0.25">
      <c r="A438" s="4">
        <v>436</v>
      </c>
      <c r="B438" s="5" t="s">
        <v>1332</v>
      </c>
      <c r="C438" s="6">
        <v>46148</v>
      </c>
      <c r="D438" s="11" t="s">
        <v>23</v>
      </c>
      <c r="E438" s="16" t="s">
        <v>578</v>
      </c>
      <c r="F438" s="16" t="s">
        <v>1333</v>
      </c>
      <c r="G438" s="147">
        <v>5</v>
      </c>
      <c r="H438" s="9"/>
      <c r="I438" s="10">
        <v>9000000</v>
      </c>
    </row>
    <row r="439" spans="1:9" x14ac:dyDescent="0.25">
      <c r="A439" s="4">
        <v>437</v>
      </c>
      <c r="B439" s="5" t="s">
        <v>1336</v>
      </c>
      <c r="C439" s="6">
        <v>46148</v>
      </c>
      <c r="D439" s="11" t="s">
        <v>21</v>
      </c>
      <c r="E439" s="16" t="s">
        <v>102</v>
      </c>
      <c r="F439" s="16" t="s">
        <v>103</v>
      </c>
      <c r="G439" s="147">
        <v>5</v>
      </c>
      <c r="H439" s="9"/>
      <c r="I439" s="10">
        <v>36000</v>
      </c>
    </row>
    <row r="440" spans="1:9" x14ac:dyDescent="0.25">
      <c r="A440" s="4">
        <v>438</v>
      </c>
      <c r="B440" s="5" t="s">
        <v>1337</v>
      </c>
      <c r="C440" s="6">
        <v>46148</v>
      </c>
      <c r="D440" s="11" t="s">
        <v>9</v>
      </c>
      <c r="E440" s="16" t="s">
        <v>1321</v>
      </c>
      <c r="F440" s="16" t="s">
        <v>569</v>
      </c>
      <c r="G440" s="147">
        <v>5</v>
      </c>
      <c r="H440" s="9"/>
      <c r="I440" s="10">
        <v>500000</v>
      </c>
    </row>
    <row r="441" spans="1:9" x14ac:dyDescent="0.25">
      <c r="A441" s="4">
        <v>439</v>
      </c>
      <c r="B441" s="5" t="s">
        <v>1338</v>
      </c>
      <c r="C441" s="6">
        <v>46148</v>
      </c>
      <c r="D441" s="11" t="s">
        <v>9</v>
      </c>
      <c r="E441" s="16" t="s">
        <v>1428</v>
      </c>
      <c r="F441" s="16" t="s">
        <v>1081</v>
      </c>
      <c r="G441" s="147">
        <v>5</v>
      </c>
      <c r="H441" s="9"/>
      <c r="I441" s="10">
        <v>300000</v>
      </c>
    </row>
    <row r="442" spans="1:9" x14ac:dyDescent="0.25">
      <c r="A442" s="4">
        <v>440</v>
      </c>
      <c r="B442" s="5" t="s">
        <v>1341</v>
      </c>
      <c r="C442" s="6">
        <v>46149</v>
      </c>
      <c r="D442" s="11" t="s">
        <v>9</v>
      </c>
      <c r="E442" s="16" t="s">
        <v>1200</v>
      </c>
      <c r="F442" s="16" t="s">
        <v>1339</v>
      </c>
      <c r="G442" s="147">
        <v>5</v>
      </c>
      <c r="H442" s="9"/>
      <c r="I442" s="10">
        <v>500000</v>
      </c>
    </row>
    <row r="443" spans="1:9" x14ac:dyDescent="0.25">
      <c r="A443" s="4">
        <v>441</v>
      </c>
      <c r="B443" s="5" t="s">
        <v>1342</v>
      </c>
      <c r="C443" s="6">
        <v>46149</v>
      </c>
      <c r="D443" s="11" t="s">
        <v>9</v>
      </c>
      <c r="E443" s="16" t="s">
        <v>86</v>
      </c>
      <c r="F443" s="16" t="s">
        <v>1340</v>
      </c>
      <c r="G443" s="147">
        <v>5</v>
      </c>
      <c r="H443" s="9"/>
      <c r="I443" s="10">
        <v>500000</v>
      </c>
    </row>
    <row r="444" spans="1:9" x14ac:dyDescent="0.25">
      <c r="A444" s="4">
        <v>442</v>
      </c>
      <c r="B444" s="5" t="s">
        <v>1343</v>
      </c>
      <c r="C444" s="6">
        <v>46149</v>
      </c>
      <c r="D444" s="11" t="s">
        <v>9</v>
      </c>
      <c r="E444" s="16" t="s">
        <v>17</v>
      </c>
      <c r="F444" s="16" t="s">
        <v>1348</v>
      </c>
      <c r="G444" s="147">
        <v>5</v>
      </c>
      <c r="H444" s="9"/>
      <c r="I444" s="10">
        <v>250000</v>
      </c>
    </row>
    <row r="445" spans="1:9" x14ac:dyDescent="0.25">
      <c r="A445" s="4">
        <v>443</v>
      </c>
      <c r="B445" s="5" t="s">
        <v>1344</v>
      </c>
      <c r="C445" s="6">
        <v>46149</v>
      </c>
      <c r="D445" s="11" t="s">
        <v>9</v>
      </c>
      <c r="E445" s="16" t="s">
        <v>17</v>
      </c>
      <c r="F445" s="16" t="s">
        <v>1349</v>
      </c>
      <c r="G445" s="147">
        <v>5</v>
      </c>
      <c r="H445" s="9"/>
      <c r="I445" s="10">
        <v>500000</v>
      </c>
    </row>
    <row r="446" spans="1:9" x14ac:dyDescent="0.25">
      <c r="A446" s="4">
        <v>444</v>
      </c>
      <c r="B446" s="5" t="s">
        <v>1345</v>
      </c>
      <c r="C446" s="6">
        <v>46149</v>
      </c>
      <c r="D446" s="11" t="s">
        <v>9</v>
      </c>
      <c r="E446" s="16" t="s">
        <v>17</v>
      </c>
      <c r="F446" s="16" t="s">
        <v>1064</v>
      </c>
      <c r="G446" s="147">
        <v>5</v>
      </c>
      <c r="H446" s="9"/>
      <c r="I446" s="10">
        <v>900000</v>
      </c>
    </row>
    <row r="447" spans="1:9" x14ac:dyDescent="0.25">
      <c r="A447" s="4">
        <v>445</v>
      </c>
      <c r="B447" s="5" t="s">
        <v>1346</v>
      </c>
      <c r="C447" s="6">
        <v>46149</v>
      </c>
      <c r="D447" s="11" t="s">
        <v>9</v>
      </c>
      <c r="E447" s="16" t="s">
        <v>17</v>
      </c>
      <c r="F447" s="16" t="s">
        <v>1350</v>
      </c>
      <c r="G447" s="147">
        <v>5</v>
      </c>
      <c r="H447" s="9"/>
      <c r="I447" s="10">
        <v>1592000</v>
      </c>
    </row>
    <row r="448" spans="1:9" x14ac:dyDescent="0.25">
      <c r="A448" s="4">
        <v>446</v>
      </c>
      <c r="B448" s="5" t="s">
        <v>1347</v>
      </c>
      <c r="C448" s="6">
        <v>46149</v>
      </c>
      <c r="D448" s="11" t="s">
        <v>9</v>
      </c>
      <c r="E448" s="16" t="s">
        <v>17</v>
      </c>
      <c r="F448" s="16" t="s">
        <v>1353</v>
      </c>
      <c r="G448" s="147">
        <v>5</v>
      </c>
      <c r="H448" s="9"/>
      <c r="I448" s="10">
        <v>88000</v>
      </c>
    </row>
    <row r="449" spans="1:9" x14ac:dyDescent="0.25">
      <c r="A449" s="4">
        <v>447</v>
      </c>
      <c r="B449" s="5" t="s">
        <v>1351</v>
      </c>
      <c r="C449" s="6">
        <v>46149</v>
      </c>
      <c r="D449" s="11" t="s">
        <v>9</v>
      </c>
      <c r="E449" s="16" t="s">
        <v>1352</v>
      </c>
      <c r="F449" s="16" t="s">
        <v>1354</v>
      </c>
      <c r="G449" s="147">
        <v>5</v>
      </c>
      <c r="H449" s="9"/>
      <c r="I449" s="10">
        <v>246000</v>
      </c>
    </row>
    <row r="450" spans="1:9" x14ac:dyDescent="0.25">
      <c r="A450" s="4">
        <v>448</v>
      </c>
      <c r="B450" s="5" t="s">
        <v>1355</v>
      </c>
      <c r="C450" s="6">
        <v>46150</v>
      </c>
      <c r="D450" s="11" t="s">
        <v>9</v>
      </c>
      <c r="E450" s="16" t="s">
        <v>1356</v>
      </c>
      <c r="F450" s="16" t="s">
        <v>1357</v>
      </c>
      <c r="G450" s="147">
        <v>5</v>
      </c>
      <c r="H450" s="9"/>
      <c r="I450" s="10">
        <v>400000</v>
      </c>
    </row>
    <row r="451" spans="1:9" ht="15.75" x14ac:dyDescent="0.25">
      <c r="A451" s="4">
        <v>449</v>
      </c>
      <c r="B451" s="5" t="s">
        <v>1371</v>
      </c>
      <c r="C451" s="6">
        <v>46151</v>
      </c>
      <c r="D451" s="11" t="s">
        <v>15</v>
      </c>
      <c r="E451" s="16" t="s">
        <v>401</v>
      </c>
      <c r="F451" s="180" t="s">
        <v>810</v>
      </c>
      <c r="G451" s="147">
        <v>5</v>
      </c>
      <c r="H451" s="9" t="s">
        <v>886</v>
      </c>
      <c r="I451" s="10">
        <v>4000000</v>
      </c>
    </row>
    <row r="452" spans="1:9" x14ac:dyDescent="0.25">
      <c r="A452" s="4">
        <v>450</v>
      </c>
      <c r="B452" s="5" t="s">
        <v>1366</v>
      </c>
      <c r="C452" s="6">
        <v>46151</v>
      </c>
      <c r="D452" s="11" t="s">
        <v>9</v>
      </c>
      <c r="E452" s="16" t="s">
        <v>1262</v>
      </c>
      <c r="F452" s="16" t="s">
        <v>1370</v>
      </c>
      <c r="G452" s="147">
        <v>5</v>
      </c>
      <c r="H452" s="9"/>
      <c r="I452" s="10">
        <v>1291000</v>
      </c>
    </row>
    <row r="453" spans="1:9" x14ac:dyDescent="0.25">
      <c r="A453" s="4">
        <v>451</v>
      </c>
      <c r="B453" s="5" t="s">
        <v>1367</v>
      </c>
      <c r="C453" s="6">
        <v>46151</v>
      </c>
      <c r="D453" s="11" t="s">
        <v>9</v>
      </c>
      <c r="E453" s="16" t="s">
        <v>13</v>
      </c>
      <c r="F453" s="16" t="s">
        <v>1164</v>
      </c>
      <c r="G453" s="147">
        <v>5</v>
      </c>
      <c r="H453" s="9"/>
      <c r="I453" s="10">
        <v>1000000</v>
      </c>
    </row>
    <row r="454" spans="1:9" x14ac:dyDescent="0.25">
      <c r="A454" s="4">
        <v>452</v>
      </c>
      <c r="B454" s="5" t="s">
        <v>1368</v>
      </c>
      <c r="C454" s="6">
        <v>46151</v>
      </c>
      <c r="D454" s="11" t="s">
        <v>9</v>
      </c>
      <c r="E454" s="16" t="s">
        <v>13</v>
      </c>
      <c r="F454" s="16" t="s">
        <v>1179</v>
      </c>
      <c r="G454" s="147">
        <v>5</v>
      </c>
      <c r="H454" s="9"/>
      <c r="I454" s="10">
        <v>1000000</v>
      </c>
    </row>
    <row r="455" spans="1:9" x14ac:dyDescent="0.25">
      <c r="A455" s="4">
        <v>453</v>
      </c>
      <c r="B455" s="5" t="s">
        <v>1369</v>
      </c>
      <c r="C455" s="6">
        <v>46151</v>
      </c>
      <c r="D455" s="11" t="s">
        <v>9</v>
      </c>
      <c r="E455" s="16" t="s">
        <v>97</v>
      </c>
      <c r="F455" s="16" t="s">
        <v>9</v>
      </c>
      <c r="G455" s="147">
        <v>5</v>
      </c>
      <c r="H455" s="9"/>
      <c r="I455" s="10">
        <v>1337000</v>
      </c>
    </row>
    <row r="456" spans="1:9" x14ac:dyDescent="0.25">
      <c r="A456" s="4">
        <v>454</v>
      </c>
      <c r="B456" s="5" t="s">
        <v>1375</v>
      </c>
      <c r="C456" s="6">
        <v>46152</v>
      </c>
      <c r="D456" s="11" t="s">
        <v>9</v>
      </c>
      <c r="E456" s="16" t="s">
        <v>1464</v>
      </c>
      <c r="F456" s="16" t="s">
        <v>1379</v>
      </c>
      <c r="G456" s="147">
        <v>5</v>
      </c>
      <c r="H456" s="9"/>
      <c r="I456" s="10">
        <v>250000</v>
      </c>
    </row>
    <row r="457" spans="1:9" x14ac:dyDescent="0.25">
      <c r="A457" s="4">
        <v>455</v>
      </c>
      <c r="B457" s="5" t="s">
        <v>1376</v>
      </c>
      <c r="C457" s="6">
        <v>46152</v>
      </c>
      <c r="D457" s="11" t="s">
        <v>9</v>
      </c>
      <c r="E457" s="16" t="s">
        <v>10</v>
      </c>
      <c r="F457" s="16" t="s">
        <v>1380</v>
      </c>
      <c r="G457" s="147">
        <v>5</v>
      </c>
      <c r="H457" s="9"/>
      <c r="I457" s="10">
        <v>500000</v>
      </c>
    </row>
    <row r="458" spans="1:9" x14ac:dyDescent="0.25">
      <c r="A458" s="4">
        <v>456</v>
      </c>
      <c r="B458" s="5" t="s">
        <v>1377</v>
      </c>
      <c r="C458" s="6">
        <v>46152</v>
      </c>
      <c r="D458" s="11" t="s">
        <v>587</v>
      </c>
      <c r="E458" s="16" t="s">
        <v>1378</v>
      </c>
      <c r="F458" s="16" t="s">
        <v>1287</v>
      </c>
      <c r="G458" s="147">
        <v>5</v>
      </c>
      <c r="H458" s="9"/>
      <c r="I458" s="10">
        <v>500000</v>
      </c>
    </row>
    <row r="459" spans="1:9" ht="15.75" x14ac:dyDescent="0.25">
      <c r="A459" s="4">
        <v>457</v>
      </c>
      <c r="B459" s="5" t="s">
        <v>1393</v>
      </c>
      <c r="C459" s="6">
        <v>46152</v>
      </c>
      <c r="D459" s="11" t="s">
        <v>15</v>
      </c>
      <c r="E459" s="16" t="s">
        <v>199</v>
      </c>
      <c r="F459" s="180" t="s">
        <v>200</v>
      </c>
      <c r="G459" s="147">
        <v>5</v>
      </c>
      <c r="H459" s="9" t="s">
        <v>886</v>
      </c>
      <c r="I459" s="10">
        <v>2000000</v>
      </c>
    </row>
    <row r="460" spans="1:9" x14ac:dyDescent="0.25">
      <c r="A460" s="4">
        <v>458</v>
      </c>
      <c r="B460" s="5" t="s">
        <v>1394</v>
      </c>
      <c r="C460" s="6">
        <v>46153</v>
      </c>
      <c r="D460" s="11" t="s">
        <v>21</v>
      </c>
      <c r="E460" s="16" t="s">
        <v>1395</v>
      </c>
      <c r="F460" s="16" t="s">
        <v>1396</v>
      </c>
      <c r="G460" s="147">
        <v>5</v>
      </c>
      <c r="H460" s="9"/>
      <c r="I460" s="10">
        <v>5000000</v>
      </c>
    </row>
    <row r="461" spans="1:9" ht="15.75" x14ac:dyDescent="0.25">
      <c r="A461" s="4">
        <v>459</v>
      </c>
      <c r="B461" s="5" t="s">
        <v>1399</v>
      </c>
      <c r="C461" s="6">
        <v>46153</v>
      </c>
      <c r="D461" s="11" t="s">
        <v>15</v>
      </c>
      <c r="E461" s="16" t="s">
        <v>545</v>
      </c>
      <c r="F461" s="180" t="s">
        <v>1397</v>
      </c>
      <c r="G461" s="147">
        <v>5</v>
      </c>
      <c r="H461" s="9" t="s">
        <v>886</v>
      </c>
      <c r="I461" s="10">
        <v>6000000</v>
      </c>
    </row>
    <row r="462" spans="1:9" x14ac:dyDescent="0.25">
      <c r="A462" s="4">
        <v>460</v>
      </c>
      <c r="B462" s="5" t="s">
        <v>1398</v>
      </c>
      <c r="C462" s="6">
        <v>46153</v>
      </c>
      <c r="D462" s="11" t="s">
        <v>21</v>
      </c>
      <c r="E462" s="16" t="s">
        <v>1400</v>
      </c>
      <c r="F462" s="16" t="s">
        <v>163</v>
      </c>
      <c r="G462" s="147">
        <v>5</v>
      </c>
      <c r="H462" s="9"/>
      <c r="I462" s="10">
        <v>70000</v>
      </c>
    </row>
    <row r="463" spans="1:9" x14ac:dyDescent="0.25">
      <c r="A463" s="4">
        <v>461</v>
      </c>
      <c r="B463" s="5" t="s">
        <v>1401</v>
      </c>
      <c r="C463" s="6">
        <v>46153</v>
      </c>
      <c r="D463" s="11" t="s">
        <v>21</v>
      </c>
      <c r="E463" s="16" t="s">
        <v>668</v>
      </c>
      <c r="F463" s="16" t="s">
        <v>669</v>
      </c>
      <c r="G463" s="147">
        <v>5</v>
      </c>
      <c r="H463" s="9"/>
      <c r="I463" s="10">
        <v>70000</v>
      </c>
    </row>
    <row r="464" spans="1:9" x14ac:dyDescent="0.25">
      <c r="A464" s="4">
        <v>462</v>
      </c>
      <c r="B464" s="5" t="s">
        <v>1402</v>
      </c>
      <c r="C464" s="6">
        <v>46153</v>
      </c>
      <c r="D464" s="11" t="s">
        <v>21</v>
      </c>
      <c r="E464" s="16" t="s">
        <v>1135</v>
      </c>
      <c r="F464" s="16" t="s">
        <v>100</v>
      </c>
      <c r="G464" s="147">
        <v>5</v>
      </c>
      <c r="H464" s="9"/>
      <c r="I464" s="10">
        <v>2500000</v>
      </c>
    </row>
    <row r="465" spans="1:9" ht="15.75" x14ac:dyDescent="0.25">
      <c r="A465" s="4">
        <v>463</v>
      </c>
      <c r="B465" s="5" t="s">
        <v>1403</v>
      </c>
      <c r="C465" s="6">
        <v>46153</v>
      </c>
      <c r="D465" s="11" t="s">
        <v>15</v>
      </c>
      <c r="E465" s="16" t="s">
        <v>376</v>
      </c>
      <c r="F465" s="180" t="s">
        <v>1404</v>
      </c>
      <c r="G465" s="147">
        <v>5</v>
      </c>
      <c r="H465" s="9" t="s">
        <v>886</v>
      </c>
      <c r="I465" s="10">
        <v>6000000</v>
      </c>
    </row>
    <row r="466" spans="1:9" x14ac:dyDescent="0.25">
      <c r="A466" s="4">
        <v>464</v>
      </c>
      <c r="B466" s="5" t="s">
        <v>1405</v>
      </c>
      <c r="C466" s="6">
        <v>46153</v>
      </c>
      <c r="D466" s="11" t="s">
        <v>21</v>
      </c>
      <c r="E466" s="16" t="s">
        <v>1406</v>
      </c>
      <c r="F466" s="16" t="s">
        <v>1407</v>
      </c>
      <c r="G466" s="147">
        <v>5</v>
      </c>
      <c r="H466" s="9"/>
      <c r="I466" s="10">
        <v>430000</v>
      </c>
    </row>
    <row r="467" spans="1:9" x14ac:dyDescent="0.25">
      <c r="A467" s="4">
        <v>465</v>
      </c>
      <c r="B467" s="5" t="s">
        <v>1413</v>
      </c>
      <c r="C467" s="6">
        <v>46153</v>
      </c>
      <c r="D467" s="11" t="s">
        <v>9</v>
      </c>
      <c r="E467" s="16" t="s">
        <v>10</v>
      </c>
      <c r="F467" s="16" t="s">
        <v>1411</v>
      </c>
      <c r="G467" s="147">
        <v>5</v>
      </c>
      <c r="H467" s="9"/>
      <c r="I467" s="10">
        <v>250000</v>
      </c>
    </row>
    <row r="468" spans="1:9" x14ac:dyDescent="0.25">
      <c r="A468" s="4">
        <v>466</v>
      </c>
      <c r="B468" s="5" t="s">
        <v>1414</v>
      </c>
      <c r="C468" s="6">
        <v>46153</v>
      </c>
      <c r="D468" s="11" t="s">
        <v>9</v>
      </c>
      <c r="E468" s="16" t="s">
        <v>1200</v>
      </c>
      <c r="F468" s="16" t="s">
        <v>1412</v>
      </c>
      <c r="G468" s="147">
        <v>5</v>
      </c>
      <c r="H468" s="9"/>
      <c r="I468" s="10">
        <v>1000000</v>
      </c>
    </row>
    <row r="469" spans="1:9" x14ac:dyDescent="0.25">
      <c r="A469" s="4">
        <v>467</v>
      </c>
      <c r="B469" s="5" t="s">
        <v>1415</v>
      </c>
      <c r="C469" s="6">
        <v>46153</v>
      </c>
      <c r="D469" s="11" t="s">
        <v>9</v>
      </c>
      <c r="E469" s="16" t="s">
        <v>176</v>
      </c>
      <c r="F469" s="16" t="s">
        <v>1416</v>
      </c>
      <c r="G469" s="147">
        <v>5</v>
      </c>
      <c r="H469" s="9"/>
      <c r="I469" s="10">
        <v>1000000</v>
      </c>
    </row>
    <row r="470" spans="1:9" x14ac:dyDescent="0.25">
      <c r="A470" s="4">
        <v>468</v>
      </c>
      <c r="B470" s="5" t="s">
        <v>1421</v>
      </c>
      <c r="C470" s="6">
        <v>46155</v>
      </c>
      <c r="D470" s="11" t="s">
        <v>21</v>
      </c>
      <c r="E470" s="16" t="s">
        <v>787</v>
      </c>
      <c r="F470" s="16" t="s">
        <v>1422</v>
      </c>
      <c r="G470" s="147">
        <v>5</v>
      </c>
      <c r="H470" s="9"/>
      <c r="I470" s="10">
        <v>650000</v>
      </c>
    </row>
    <row r="471" spans="1:9" x14ac:dyDescent="0.25">
      <c r="A471" s="4">
        <v>469</v>
      </c>
      <c r="B471" s="5" t="s">
        <v>1429</v>
      </c>
      <c r="C471" s="6">
        <v>46155</v>
      </c>
      <c r="D471" s="11" t="s">
        <v>9</v>
      </c>
      <c r="E471" s="16" t="s">
        <v>1428</v>
      </c>
      <c r="F471" s="16" t="s">
        <v>1502</v>
      </c>
      <c r="G471" s="147">
        <v>5</v>
      </c>
      <c r="H471" s="9" t="s">
        <v>1430</v>
      </c>
      <c r="I471" s="10">
        <v>2000000</v>
      </c>
    </row>
    <row r="472" spans="1:9" x14ac:dyDescent="0.25">
      <c r="A472" s="4">
        <v>470</v>
      </c>
      <c r="B472" s="5" t="s">
        <v>1433</v>
      </c>
      <c r="C472" s="6">
        <v>46155</v>
      </c>
      <c r="D472" s="11" t="s">
        <v>9</v>
      </c>
      <c r="E472" s="16" t="s">
        <v>1431</v>
      </c>
      <c r="F472" s="16" t="s">
        <v>1432</v>
      </c>
      <c r="G472" s="147">
        <v>5</v>
      </c>
      <c r="H472" s="9"/>
      <c r="I472" s="10">
        <v>2000000</v>
      </c>
    </row>
    <row r="473" spans="1:9" x14ac:dyDescent="0.25">
      <c r="A473" s="4">
        <v>471</v>
      </c>
      <c r="B473" s="5" t="s">
        <v>1436</v>
      </c>
      <c r="C473" s="6">
        <v>46155</v>
      </c>
      <c r="D473" s="11" t="s">
        <v>9</v>
      </c>
      <c r="E473" s="16" t="s">
        <v>607</v>
      </c>
      <c r="F473" s="16" t="s">
        <v>1434</v>
      </c>
      <c r="G473" s="147">
        <v>5</v>
      </c>
      <c r="H473" s="9"/>
      <c r="I473" s="10">
        <v>1000000</v>
      </c>
    </row>
    <row r="474" spans="1:9" x14ac:dyDescent="0.25">
      <c r="A474" s="4">
        <v>472</v>
      </c>
      <c r="B474" s="5" t="s">
        <v>1437</v>
      </c>
      <c r="C474" s="6">
        <v>46155</v>
      </c>
      <c r="D474" s="11" t="s">
        <v>26</v>
      </c>
      <c r="E474" s="16" t="s">
        <v>323</v>
      </c>
      <c r="F474" s="16" t="s">
        <v>1435</v>
      </c>
      <c r="G474" s="147">
        <v>5</v>
      </c>
      <c r="H474" s="9" t="s">
        <v>886</v>
      </c>
      <c r="I474" s="10">
        <v>5000000</v>
      </c>
    </row>
    <row r="475" spans="1:9" ht="15.75" x14ac:dyDescent="0.25">
      <c r="A475" s="4">
        <v>473</v>
      </c>
      <c r="B475" s="5" t="s">
        <v>1438</v>
      </c>
      <c r="C475" s="6">
        <v>46156</v>
      </c>
      <c r="D475" s="11" t="s">
        <v>9</v>
      </c>
      <c r="E475" s="16" t="s">
        <v>161</v>
      </c>
      <c r="F475" s="180" t="s">
        <v>1442</v>
      </c>
      <c r="G475" s="147">
        <v>5</v>
      </c>
      <c r="H475" s="9"/>
      <c r="I475" s="10">
        <v>200000</v>
      </c>
    </row>
    <row r="476" spans="1:9" x14ac:dyDescent="0.25">
      <c r="A476" s="4">
        <v>474</v>
      </c>
      <c r="B476" s="5" t="s">
        <v>1439</v>
      </c>
      <c r="C476" s="6">
        <v>46156</v>
      </c>
      <c r="D476" s="11" t="s">
        <v>23</v>
      </c>
      <c r="E476" s="16" t="s">
        <v>55</v>
      </c>
      <c r="F476" s="16" t="s">
        <v>1441</v>
      </c>
      <c r="G476" s="147">
        <v>5</v>
      </c>
      <c r="H476" s="9"/>
      <c r="I476" s="10">
        <v>800000</v>
      </c>
    </row>
    <row r="477" spans="1:9" x14ac:dyDescent="0.25">
      <c r="A477" s="4">
        <v>475</v>
      </c>
      <c r="B477" s="5" t="s">
        <v>1440</v>
      </c>
      <c r="C477" s="6">
        <v>46156</v>
      </c>
      <c r="D477" s="11" t="s">
        <v>9</v>
      </c>
      <c r="E477" s="16" t="s">
        <v>1147</v>
      </c>
      <c r="F477" s="16" t="s">
        <v>569</v>
      </c>
      <c r="G477" s="147">
        <v>5</v>
      </c>
      <c r="H477" s="9"/>
      <c r="I477" s="10">
        <v>500000</v>
      </c>
    </row>
    <row r="478" spans="1:9" x14ac:dyDescent="0.25">
      <c r="A478" s="4">
        <v>476</v>
      </c>
      <c r="B478" s="5" t="s">
        <v>1444</v>
      </c>
      <c r="C478" s="6">
        <v>46156</v>
      </c>
      <c r="D478" s="11" t="s">
        <v>26</v>
      </c>
      <c r="E478" s="16" t="s">
        <v>323</v>
      </c>
      <c r="F478" s="16" t="s">
        <v>1443</v>
      </c>
      <c r="G478" s="147">
        <v>5</v>
      </c>
      <c r="H478" s="9" t="s">
        <v>886</v>
      </c>
      <c r="I478" s="10">
        <v>2050000</v>
      </c>
    </row>
    <row r="479" spans="1:9" ht="15.75" x14ac:dyDescent="0.25">
      <c r="A479" s="4">
        <v>477</v>
      </c>
      <c r="B479" s="5" t="s">
        <v>1445</v>
      </c>
      <c r="C479" s="6">
        <v>46156</v>
      </c>
      <c r="D479" s="11" t="s">
        <v>9</v>
      </c>
      <c r="E479" s="16" t="s">
        <v>1285</v>
      </c>
      <c r="F479" s="180" t="s">
        <v>1446</v>
      </c>
      <c r="G479" s="147">
        <v>5</v>
      </c>
      <c r="H479" s="9"/>
      <c r="I479" s="10">
        <v>25000</v>
      </c>
    </row>
    <row r="480" spans="1:9" x14ac:dyDescent="0.25">
      <c r="A480" s="4">
        <v>478</v>
      </c>
      <c r="B480" s="5" t="s">
        <v>1448</v>
      </c>
      <c r="C480" s="6">
        <v>46156</v>
      </c>
      <c r="D480" s="11" t="s">
        <v>26</v>
      </c>
      <c r="E480" s="16" t="s">
        <v>323</v>
      </c>
      <c r="F480" s="16" t="s">
        <v>1449</v>
      </c>
      <c r="G480" s="147">
        <v>5</v>
      </c>
      <c r="H480" s="9" t="s">
        <v>886</v>
      </c>
      <c r="I480" s="10">
        <v>260000</v>
      </c>
    </row>
    <row r="481" spans="1:9" ht="15.75" x14ac:dyDescent="0.25">
      <c r="A481" s="4">
        <v>479</v>
      </c>
      <c r="B481" s="5" t="s">
        <v>1451</v>
      </c>
      <c r="C481" s="6">
        <v>46158</v>
      </c>
      <c r="D481" s="11" t="s">
        <v>15</v>
      </c>
      <c r="E481" s="16" t="s">
        <v>366</v>
      </c>
      <c r="F481" s="180" t="s">
        <v>1452</v>
      </c>
      <c r="G481" s="147">
        <v>5</v>
      </c>
      <c r="H481" s="9" t="s">
        <v>886</v>
      </c>
      <c r="I481" s="10">
        <v>6000000</v>
      </c>
    </row>
    <row r="482" spans="1:9" x14ac:dyDescent="0.25">
      <c r="A482" s="4">
        <v>480</v>
      </c>
      <c r="B482" s="5" t="s">
        <v>1454</v>
      </c>
      <c r="C482" s="6">
        <v>46158</v>
      </c>
      <c r="D482" s="11" t="s">
        <v>21</v>
      </c>
      <c r="E482" s="16" t="s">
        <v>102</v>
      </c>
      <c r="F482" s="16" t="s">
        <v>1455</v>
      </c>
      <c r="G482" s="147">
        <v>5</v>
      </c>
      <c r="H482" s="9" t="s">
        <v>1447</v>
      </c>
      <c r="I482" s="10">
        <v>50000</v>
      </c>
    </row>
    <row r="483" spans="1:9" x14ac:dyDescent="0.25">
      <c r="A483" s="4">
        <v>481</v>
      </c>
      <c r="B483" s="5" t="s">
        <v>1456</v>
      </c>
      <c r="C483" s="6">
        <v>46158</v>
      </c>
      <c r="D483" s="11" t="s">
        <v>21</v>
      </c>
      <c r="E483" s="16" t="s">
        <v>102</v>
      </c>
      <c r="F483" s="16" t="s">
        <v>103</v>
      </c>
      <c r="G483" s="147">
        <v>5</v>
      </c>
      <c r="H483" s="9" t="s">
        <v>1447</v>
      </c>
      <c r="I483" s="10">
        <v>10000</v>
      </c>
    </row>
    <row r="484" spans="1:9" x14ac:dyDescent="0.25">
      <c r="A484" s="4">
        <v>482</v>
      </c>
      <c r="B484" s="5" t="s">
        <v>1461</v>
      </c>
      <c r="C484" s="6">
        <v>46158</v>
      </c>
      <c r="D484" s="11" t="s">
        <v>9</v>
      </c>
      <c r="E484" s="16" t="s">
        <v>1463</v>
      </c>
      <c r="F484" s="16" t="s">
        <v>1465</v>
      </c>
      <c r="G484" s="147">
        <v>5</v>
      </c>
      <c r="H484" s="9"/>
      <c r="I484" s="10">
        <v>250000</v>
      </c>
    </row>
    <row r="485" spans="1:9" x14ac:dyDescent="0.25">
      <c r="A485" s="4">
        <v>483</v>
      </c>
      <c r="B485" s="5" t="s">
        <v>1462</v>
      </c>
      <c r="C485" s="6">
        <v>46158</v>
      </c>
      <c r="D485" s="11" t="s">
        <v>9</v>
      </c>
      <c r="E485" s="16" t="s">
        <v>1464</v>
      </c>
      <c r="F485" s="16" t="s">
        <v>1466</v>
      </c>
      <c r="G485" s="147">
        <v>5</v>
      </c>
      <c r="H485" s="9"/>
      <c r="I485" s="10">
        <v>200000</v>
      </c>
    </row>
    <row r="486" spans="1:9" x14ac:dyDescent="0.25">
      <c r="A486" s="4">
        <v>484</v>
      </c>
      <c r="B486" s="5" t="s">
        <v>1566</v>
      </c>
      <c r="C486" s="6">
        <v>46158</v>
      </c>
      <c r="D486" s="11" t="s">
        <v>26</v>
      </c>
      <c r="E486" s="164" t="s">
        <v>323</v>
      </c>
      <c r="F486" s="16" t="s">
        <v>1467</v>
      </c>
      <c r="G486" s="147">
        <v>5</v>
      </c>
      <c r="H486" s="9" t="s">
        <v>886</v>
      </c>
      <c r="I486" s="223">
        <v>31973000</v>
      </c>
    </row>
    <row r="487" spans="1:9" x14ac:dyDescent="0.25">
      <c r="A487" s="4">
        <v>485</v>
      </c>
      <c r="B487" s="5" t="s">
        <v>1471</v>
      </c>
      <c r="C487" s="6">
        <v>46158</v>
      </c>
      <c r="D487" s="11" t="s">
        <v>9</v>
      </c>
      <c r="E487" s="16" t="s">
        <v>89</v>
      </c>
      <c r="F487" s="16" t="s">
        <v>1470</v>
      </c>
      <c r="G487" s="147">
        <v>5</v>
      </c>
      <c r="H487" s="9" t="s">
        <v>1473</v>
      </c>
      <c r="I487" s="10">
        <v>3000000</v>
      </c>
    </row>
    <row r="488" spans="1:9" ht="15.75" x14ac:dyDescent="0.25">
      <c r="A488" s="4">
        <v>486</v>
      </c>
      <c r="B488" s="5" t="s">
        <v>1472</v>
      </c>
      <c r="C488" s="6">
        <v>46158</v>
      </c>
      <c r="D488" s="11" t="s">
        <v>15</v>
      </c>
      <c r="E488" s="16" t="s">
        <v>181</v>
      </c>
      <c r="F488" s="180" t="s">
        <v>182</v>
      </c>
      <c r="G488" s="147">
        <v>5</v>
      </c>
      <c r="H488" s="9" t="s">
        <v>886</v>
      </c>
      <c r="I488" s="10">
        <v>10000000</v>
      </c>
    </row>
    <row r="489" spans="1:9" x14ac:dyDescent="0.25">
      <c r="A489" s="4">
        <v>487</v>
      </c>
      <c r="B489" s="5" t="s">
        <v>1475</v>
      </c>
      <c r="C489" s="6">
        <v>46158</v>
      </c>
      <c r="D489" s="11" t="s">
        <v>9</v>
      </c>
      <c r="E489" s="16" t="s">
        <v>1132</v>
      </c>
      <c r="F489" s="16" t="s">
        <v>1474</v>
      </c>
      <c r="G489" s="147">
        <v>5</v>
      </c>
      <c r="H489" s="9"/>
      <c r="I489" s="10">
        <v>200000</v>
      </c>
    </row>
    <row r="490" spans="1:9" x14ac:dyDescent="0.25">
      <c r="A490" s="4">
        <v>488</v>
      </c>
      <c r="B490" s="5" t="s">
        <v>1476</v>
      </c>
      <c r="C490" s="6">
        <v>46158</v>
      </c>
      <c r="D490" s="11" t="s">
        <v>15</v>
      </c>
      <c r="E490" s="16" t="s">
        <v>1460</v>
      </c>
      <c r="F490" s="16" t="s">
        <v>1477</v>
      </c>
      <c r="G490" s="147">
        <v>5</v>
      </c>
      <c r="H490" s="9" t="s">
        <v>799</v>
      </c>
      <c r="I490" s="10">
        <v>100000000</v>
      </c>
    </row>
    <row r="491" spans="1:9" ht="15.75" x14ac:dyDescent="0.25">
      <c r="A491" s="4">
        <v>489</v>
      </c>
      <c r="B491" s="5" t="s">
        <v>1484</v>
      </c>
      <c r="C491" s="6">
        <v>46158</v>
      </c>
      <c r="D491" s="11" t="s">
        <v>15</v>
      </c>
      <c r="E491" s="16" t="s">
        <v>446</v>
      </c>
      <c r="F491" s="180" t="s">
        <v>723</v>
      </c>
      <c r="G491" s="147">
        <v>5</v>
      </c>
      <c r="H491" s="9" t="s">
        <v>886</v>
      </c>
      <c r="I491" s="10">
        <v>2000000</v>
      </c>
    </row>
    <row r="492" spans="1:9" ht="15.75" x14ac:dyDescent="0.25">
      <c r="A492" s="4">
        <v>490</v>
      </c>
      <c r="B492" s="5" t="s">
        <v>1485</v>
      </c>
      <c r="C492" s="6">
        <v>46158</v>
      </c>
      <c r="D492" s="11" t="s">
        <v>15</v>
      </c>
      <c r="E492" s="16" t="s">
        <v>446</v>
      </c>
      <c r="F492" s="180" t="s">
        <v>723</v>
      </c>
      <c r="G492" s="147">
        <v>5</v>
      </c>
      <c r="H492" s="9" t="s">
        <v>886</v>
      </c>
      <c r="I492" s="10">
        <v>1000000</v>
      </c>
    </row>
    <row r="493" spans="1:9" ht="15.75" x14ac:dyDescent="0.25">
      <c r="A493" s="4">
        <v>491</v>
      </c>
      <c r="B493" s="5" t="s">
        <v>1486</v>
      </c>
      <c r="C493" s="6">
        <v>46158</v>
      </c>
      <c r="D493" s="11" t="s">
        <v>15</v>
      </c>
      <c r="E493" s="16" t="s">
        <v>1487</v>
      </c>
      <c r="F493" s="180" t="s">
        <v>1488</v>
      </c>
      <c r="G493" s="147">
        <v>5</v>
      </c>
      <c r="H493" s="9" t="s">
        <v>886</v>
      </c>
      <c r="I493" s="10">
        <v>3000000</v>
      </c>
    </row>
    <row r="494" spans="1:9" x14ac:dyDescent="0.25">
      <c r="A494" s="4">
        <v>492</v>
      </c>
      <c r="B494" s="5" t="s">
        <v>1490</v>
      </c>
      <c r="C494" s="6">
        <v>46158</v>
      </c>
      <c r="D494" s="11" t="s">
        <v>9</v>
      </c>
      <c r="E494" s="16" t="s">
        <v>1489</v>
      </c>
      <c r="F494" s="114" t="s">
        <v>1410</v>
      </c>
      <c r="G494" s="147">
        <v>5</v>
      </c>
      <c r="H494" s="9"/>
      <c r="I494" s="10">
        <v>1695000</v>
      </c>
    </row>
    <row r="495" spans="1:9" x14ac:dyDescent="0.25">
      <c r="A495" s="4">
        <v>493</v>
      </c>
      <c r="B495" s="5" t="s">
        <v>1491</v>
      </c>
      <c r="C495" s="6">
        <v>46158</v>
      </c>
      <c r="D495" s="11" t="s">
        <v>9</v>
      </c>
      <c r="E495" s="16" t="s">
        <v>1489</v>
      </c>
      <c r="F495" s="114" t="s">
        <v>1409</v>
      </c>
      <c r="G495" s="147">
        <v>5</v>
      </c>
      <c r="H495" s="9"/>
      <c r="I495" s="10">
        <v>790000</v>
      </c>
    </row>
    <row r="496" spans="1:9" x14ac:dyDescent="0.25">
      <c r="A496" s="4">
        <v>494</v>
      </c>
      <c r="B496" s="5" t="s">
        <v>1492</v>
      </c>
      <c r="C496" s="6">
        <v>46158</v>
      </c>
      <c r="D496" s="11" t="s">
        <v>23</v>
      </c>
      <c r="E496" s="16" t="s">
        <v>578</v>
      </c>
      <c r="F496" s="16" t="s">
        <v>1493</v>
      </c>
      <c r="G496" s="147">
        <v>5</v>
      </c>
      <c r="H496" s="9"/>
      <c r="I496" s="10">
        <v>3000000</v>
      </c>
    </row>
    <row r="497" spans="1:13" x14ac:dyDescent="0.25">
      <c r="A497" s="4">
        <v>495</v>
      </c>
      <c r="B497" s="5" t="s">
        <v>1495</v>
      </c>
      <c r="C497" s="6">
        <v>46158</v>
      </c>
      <c r="D497" s="11" t="s">
        <v>9</v>
      </c>
      <c r="E497" s="16" t="s">
        <v>97</v>
      </c>
      <c r="F497" s="16" t="s">
        <v>9</v>
      </c>
      <c r="G497" s="147">
        <v>5</v>
      </c>
      <c r="H497" s="9"/>
      <c r="I497" s="10">
        <v>725000</v>
      </c>
    </row>
    <row r="498" spans="1:13" x14ac:dyDescent="0.25">
      <c r="A498" s="4">
        <v>496</v>
      </c>
      <c r="B498" s="5" t="s">
        <v>1496</v>
      </c>
      <c r="C498" s="6">
        <v>46158</v>
      </c>
      <c r="D498" s="11" t="s">
        <v>9</v>
      </c>
      <c r="E498" s="16" t="s">
        <v>97</v>
      </c>
      <c r="F498" s="16" t="s">
        <v>9</v>
      </c>
      <c r="G498" s="147">
        <v>5</v>
      </c>
      <c r="H498" s="9"/>
      <c r="I498" s="10">
        <v>294000</v>
      </c>
    </row>
    <row r="499" spans="1:13" ht="15.75" x14ac:dyDescent="0.25">
      <c r="A499" s="4">
        <v>497</v>
      </c>
      <c r="B499" s="5" t="s">
        <v>1497</v>
      </c>
      <c r="C499" s="6">
        <v>46159</v>
      </c>
      <c r="D499" s="11" t="s">
        <v>15</v>
      </c>
      <c r="E499" s="16" t="s">
        <v>444</v>
      </c>
      <c r="F499" s="180" t="s">
        <v>1498</v>
      </c>
      <c r="G499" s="147">
        <v>5</v>
      </c>
      <c r="H499" s="9" t="s">
        <v>886</v>
      </c>
      <c r="I499" s="10">
        <v>4000000</v>
      </c>
    </row>
    <row r="500" spans="1:13" x14ac:dyDescent="0.25">
      <c r="A500" s="4">
        <v>498</v>
      </c>
      <c r="B500" s="5" t="s">
        <v>1501</v>
      </c>
      <c r="C500" s="6">
        <v>46159</v>
      </c>
      <c r="D500" s="11" t="s">
        <v>9</v>
      </c>
      <c r="E500" s="16" t="s">
        <v>13</v>
      </c>
      <c r="F500" s="16" t="s">
        <v>1500</v>
      </c>
      <c r="G500" s="147">
        <v>5</v>
      </c>
      <c r="H500" s="9" t="s">
        <v>1499</v>
      </c>
      <c r="I500" s="10">
        <v>2000000</v>
      </c>
    </row>
    <row r="501" spans="1:13" ht="15.75" x14ac:dyDescent="0.25">
      <c r="A501" s="4">
        <v>499</v>
      </c>
      <c r="B501" s="5" t="s">
        <v>1505</v>
      </c>
      <c r="C501" s="6">
        <v>46159</v>
      </c>
      <c r="D501" s="11" t="s">
        <v>15</v>
      </c>
      <c r="E501" s="16" t="s">
        <v>471</v>
      </c>
      <c r="F501" s="180" t="s">
        <v>1504</v>
      </c>
      <c r="G501" s="147">
        <v>5</v>
      </c>
      <c r="H501" s="9" t="s">
        <v>886</v>
      </c>
      <c r="I501" s="10">
        <v>500000</v>
      </c>
    </row>
    <row r="502" spans="1:13" x14ac:dyDescent="0.25">
      <c r="A502" s="4">
        <v>500</v>
      </c>
      <c r="B502" s="5" t="s">
        <v>1503</v>
      </c>
      <c r="C502" s="6">
        <v>46159</v>
      </c>
      <c r="D502" s="11" t="s">
        <v>9</v>
      </c>
      <c r="E502" s="121" t="s">
        <v>1428</v>
      </c>
      <c r="F502" s="121" t="s">
        <v>1502</v>
      </c>
      <c r="G502" s="147">
        <v>5</v>
      </c>
      <c r="H502" s="9"/>
      <c r="I502" s="10">
        <v>525000</v>
      </c>
    </row>
    <row r="503" spans="1:13" x14ac:dyDescent="0.25">
      <c r="A503" s="4">
        <v>501</v>
      </c>
      <c r="B503" s="5" t="s">
        <v>1507</v>
      </c>
      <c r="C503" s="6">
        <v>46159</v>
      </c>
      <c r="D503" s="11" t="s">
        <v>9</v>
      </c>
      <c r="E503" s="16" t="s">
        <v>114</v>
      </c>
      <c r="F503" s="16" t="s">
        <v>1508</v>
      </c>
      <c r="G503" s="147">
        <v>5</v>
      </c>
      <c r="H503" s="9"/>
      <c r="I503" s="10">
        <v>900000</v>
      </c>
    </row>
    <row r="504" spans="1:13" x14ac:dyDescent="0.25">
      <c r="A504" s="4">
        <v>502</v>
      </c>
      <c r="B504" s="5" t="s">
        <v>1510</v>
      </c>
      <c r="C504" s="6">
        <v>46159</v>
      </c>
      <c r="D504" s="11" t="s">
        <v>9</v>
      </c>
      <c r="E504" s="16" t="s">
        <v>161</v>
      </c>
      <c r="F504" s="16" t="s">
        <v>1509</v>
      </c>
      <c r="G504" s="147">
        <v>5</v>
      </c>
      <c r="H504" s="9"/>
      <c r="I504" s="10">
        <v>20000</v>
      </c>
    </row>
    <row r="505" spans="1:13" ht="15.75" x14ac:dyDescent="0.25">
      <c r="A505" s="4">
        <v>503</v>
      </c>
      <c r="B505" s="5" t="s">
        <v>1515</v>
      </c>
      <c r="C505" s="6">
        <v>46160</v>
      </c>
      <c r="D505" s="11" t="s">
        <v>15</v>
      </c>
      <c r="E505" s="16" t="s">
        <v>374</v>
      </c>
      <c r="F505" s="180" t="s">
        <v>1326</v>
      </c>
      <c r="G505" s="147">
        <v>5</v>
      </c>
      <c r="H505" s="9" t="s">
        <v>886</v>
      </c>
      <c r="I505" s="10">
        <v>3000000</v>
      </c>
    </row>
    <row r="506" spans="1:13" x14ac:dyDescent="0.25">
      <c r="A506" s="4">
        <v>504</v>
      </c>
      <c r="B506" s="5" t="s">
        <v>1516</v>
      </c>
      <c r="C506" s="6">
        <v>46160</v>
      </c>
      <c r="D506" s="11" t="s">
        <v>9</v>
      </c>
      <c r="E506" s="16" t="s">
        <v>89</v>
      </c>
      <c r="F506" s="16" t="s">
        <v>1470</v>
      </c>
      <c r="G506" s="147">
        <v>5</v>
      </c>
      <c r="H506" s="9" t="s">
        <v>1517</v>
      </c>
      <c r="I506" s="10">
        <v>2500000</v>
      </c>
      <c r="M506" s="220"/>
    </row>
    <row r="507" spans="1:13" x14ac:dyDescent="0.25">
      <c r="A507" s="4">
        <v>505</v>
      </c>
      <c r="B507" s="5" t="s">
        <v>1518</v>
      </c>
      <c r="C507" s="6">
        <v>46160</v>
      </c>
      <c r="D507" s="11" t="s">
        <v>9</v>
      </c>
      <c r="E507" s="16" t="s">
        <v>152</v>
      </c>
      <c r="F507" s="16" t="s">
        <v>1519</v>
      </c>
      <c r="G507" s="147">
        <v>5</v>
      </c>
      <c r="H507" s="9"/>
      <c r="I507" s="10">
        <v>1000000</v>
      </c>
    </row>
    <row r="508" spans="1:13" ht="15.75" x14ac:dyDescent="0.25">
      <c r="A508" s="4">
        <v>506</v>
      </c>
      <c r="B508" s="5" t="s">
        <v>1524</v>
      </c>
      <c r="C508" s="6">
        <v>46161</v>
      </c>
      <c r="D508" s="11" t="s">
        <v>15</v>
      </c>
      <c r="E508" s="16" t="s">
        <v>477</v>
      </c>
      <c r="F508" s="180" t="s">
        <v>854</v>
      </c>
      <c r="G508" s="147">
        <v>5</v>
      </c>
      <c r="H508" s="9" t="s">
        <v>886</v>
      </c>
      <c r="I508" s="10">
        <v>2000000</v>
      </c>
    </row>
    <row r="509" spans="1:13" x14ac:dyDescent="0.25">
      <c r="A509" s="4">
        <v>507</v>
      </c>
      <c r="B509" s="5" t="s">
        <v>1525</v>
      </c>
      <c r="C509" s="6">
        <v>46161</v>
      </c>
      <c r="D509" s="11" t="s">
        <v>9</v>
      </c>
      <c r="E509" s="16" t="s">
        <v>13</v>
      </c>
      <c r="F509" s="16" t="s">
        <v>1527</v>
      </c>
      <c r="G509" s="147">
        <v>5</v>
      </c>
      <c r="H509" s="9"/>
      <c r="I509" s="10">
        <v>1000000</v>
      </c>
    </row>
    <row r="510" spans="1:13" x14ac:dyDescent="0.25">
      <c r="A510" s="4">
        <v>508</v>
      </c>
      <c r="B510" s="5" t="s">
        <v>1526</v>
      </c>
      <c r="C510" s="6">
        <v>46161</v>
      </c>
      <c r="D510" s="11" t="s">
        <v>9</v>
      </c>
      <c r="E510" s="16" t="s">
        <v>13</v>
      </c>
      <c r="F510" s="16" t="s">
        <v>1528</v>
      </c>
      <c r="G510" s="147">
        <v>5</v>
      </c>
      <c r="H510" s="9"/>
      <c r="I510" s="10">
        <v>1000000</v>
      </c>
    </row>
    <row r="511" spans="1:13" ht="15.75" x14ac:dyDescent="0.25">
      <c r="A511" s="4">
        <v>509</v>
      </c>
      <c r="B511" s="5" t="s">
        <v>1531</v>
      </c>
      <c r="C511" s="6">
        <v>46161</v>
      </c>
      <c r="D511" s="11" t="s">
        <v>15</v>
      </c>
      <c r="E511" s="16" t="s">
        <v>453</v>
      </c>
      <c r="F511" s="180" t="s">
        <v>1530</v>
      </c>
      <c r="G511" s="147">
        <v>5</v>
      </c>
      <c r="H511" s="9" t="s">
        <v>886</v>
      </c>
      <c r="I511" s="10">
        <v>2000000</v>
      </c>
    </row>
    <row r="512" spans="1:13" ht="15.75" x14ac:dyDescent="0.25">
      <c r="A512" s="4">
        <v>510</v>
      </c>
      <c r="B512" s="5" t="s">
        <v>1532</v>
      </c>
      <c r="C512" s="6">
        <v>46162</v>
      </c>
      <c r="D512" s="11" t="s">
        <v>15</v>
      </c>
      <c r="E512" s="16" t="s">
        <v>988</v>
      </c>
      <c r="F512" s="180" t="s">
        <v>811</v>
      </c>
      <c r="G512" s="147">
        <v>5</v>
      </c>
      <c r="H512" s="9" t="s">
        <v>886</v>
      </c>
      <c r="I512" s="10">
        <v>4000000</v>
      </c>
    </row>
    <row r="513" spans="1:9" x14ac:dyDescent="0.25">
      <c r="A513" s="4">
        <v>511</v>
      </c>
      <c r="B513" s="5" t="s">
        <v>1534</v>
      </c>
      <c r="C513" s="6">
        <v>46163</v>
      </c>
      <c r="D513" s="11" t="s">
        <v>9</v>
      </c>
      <c r="E513" s="16" t="s">
        <v>1533</v>
      </c>
      <c r="F513" s="16" t="s">
        <v>1535</v>
      </c>
      <c r="G513" s="147">
        <v>5</v>
      </c>
      <c r="H513" s="9"/>
      <c r="I513" s="10">
        <v>500000</v>
      </c>
    </row>
    <row r="514" spans="1:9" x14ac:dyDescent="0.25">
      <c r="A514" s="4">
        <v>512</v>
      </c>
      <c r="B514" s="5" t="s">
        <v>1537</v>
      </c>
      <c r="C514" s="6">
        <v>46163</v>
      </c>
      <c r="D514" s="11" t="s">
        <v>23</v>
      </c>
      <c r="E514" s="16" t="s">
        <v>578</v>
      </c>
      <c r="F514" s="16" t="s">
        <v>1536</v>
      </c>
      <c r="G514" s="147">
        <v>5</v>
      </c>
      <c r="H514" s="9"/>
      <c r="I514" s="10">
        <v>2500000</v>
      </c>
    </row>
    <row r="515" spans="1:9" x14ac:dyDescent="0.25">
      <c r="A515" s="4">
        <v>513</v>
      </c>
      <c r="B515" s="5" t="s">
        <v>1538</v>
      </c>
      <c r="C515" s="6">
        <v>46163</v>
      </c>
      <c r="D515" s="11" t="s">
        <v>9</v>
      </c>
      <c r="E515" s="221" t="s">
        <v>1540</v>
      </c>
      <c r="F515" s="16" t="s">
        <v>1539</v>
      </c>
      <c r="G515" s="147">
        <v>5</v>
      </c>
      <c r="H515" s="222" t="s">
        <v>1553</v>
      </c>
      <c r="I515" s="10">
        <v>2500000</v>
      </c>
    </row>
    <row r="516" spans="1:9" x14ac:dyDescent="0.25">
      <c r="A516" s="4">
        <v>514</v>
      </c>
      <c r="B516" s="5" t="s">
        <v>1541</v>
      </c>
      <c r="C516" s="6">
        <v>46163</v>
      </c>
      <c r="D516" s="11" t="s">
        <v>21</v>
      </c>
      <c r="E516" s="16" t="s">
        <v>102</v>
      </c>
      <c r="F516" s="16" t="s">
        <v>103</v>
      </c>
      <c r="G516" s="147">
        <v>5</v>
      </c>
      <c r="H516" s="170" t="s">
        <v>1447</v>
      </c>
      <c r="I516" s="10">
        <v>10000</v>
      </c>
    </row>
    <row r="517" spans="1:9" x14ac:dyDescent="0.25">
      <c r="A517" s="4">
        <v>515</v>
      </c>
      <c r="B517" s="5" t="s">
        <v>1542</v>
      </c>
      <c r="C517" s="6">
        <v>46163</v>
      </c>
      <c r="D517" s="11" t="s">
        <v>9</v>
      </c>
      <c r="E517" s="16" t="s">
        <v>13</v>
      </c>
      <c r="F517" s="16" t="s">
        <v>1543</v>
      </c>
      <c r="G517" s="147">
        <v>5</v>
      </c>
      <c r="H517" s="9"/>
      <c r="I517" s="10">
        <v>1500000</v>
      </c>
    </row>
    <row r="518" spans="1:9" x14ac:dyDescent="0.25">
      <c r="A518" s="4">
        <v>516</v>
      </c>
      <c r="B518" s="5" t="s">
        <v>1544</v>
      </c>
      <c r="C518" s="6">
        <v>46163</v>
      </c>
      <c r="D518" s="11" t="s">
        <v>9</v>
      </c>
      <c r="E518" s="16" t="s">
        <v>10</v>
      </c>
      <c r="F518" s="16" t="s">
        <v>1545</v>
      </c>
      <c r="G518" s="147">
        <v>5</v>
      </c>
      <c r="H518" s="9"/>
      <c r="I518" s="10">
        <v>225000</v>
      </c>
    </row>
    <row r="519" spans="1:9" x14ac:dyDescent="0.25">
      <c r="A519" s="4">
        <v>517</v>
      </c>
      <c r="B519" s="5" t="s">
        <v>1546</v>
      </c>
      <c r="C519" s="6">
        <v>46163</v>
      </c>
      <c r="D519" s="11" t="s">
        <v>9</v>
      </c>
      <c r="E519" s="16" t="s">
        <v>152</v>
      </c>
      <c r="F519" s="16" t="s">
        <v>1547</v>
      </c>
      <c r="G519" s="147">
        <v>5</v>
      </c>
      <c r="H519" s="9"/>
      <c r="I519" s="10">
        <v>750000</v>
      </c>
    </row>
    <row r="520" spans="1:9" ht="15.75" x14ac:dyDescent="0.25">
      <c r="A520" s="4">
        <v>518</v>
      </c>
      <c r="B520" s="5" t="s">
        <v>1550</v>
      </c>
      <c r="C520" s="6">
        <v>46163</v>
      </c>
      <c r="D520" s="11" t="s">
        <v>15</v>
      </c>
      <c r="E520" s="16" t="s">
        <v>37</v>
      </c>
      <c r="F520" s="180" t="s">
        <v>38</v>
      </c>
      <c r="G520" s="147">
        <v>5</v>
      </c>
      <c r="H520" s="9" t="s">
        <v>886</v>
      </c>
      <c r="I520" s="10">
        <v>3000000</v>
      </c>
    </row>
    <row r="521" spans="1:9" x14ac:dyDescent="0.25">
      <c r="A521" s="4">
        <v>519</v>
      </c>
      <c r="B521" s="5" t="s">
        <v>1549</v>
      </c>
      <c r="C521" s="6">
        <v>46163</v>
      </c>
      <c r="D521" s="11" t="s">
        <v>21</v>
      </c>
      <c r="E521" s="16" t="s">
        <v>102</v>
      </c>
      <c r="F521" s="16" t="s">
        <v>1548</v>
      </c>
      <c r="G521" s="147">
        <v>5</v>
      </c>
      <c r="H521" s="170" t="s">
        <v>1447</v>
      </c>
      <c r="I521" s="10">
        <v>10000</v>
      </c>
    </row>
    <row r="522" spans="1:9" ht="15.75" x14ac:dyDescent="0.25">
      <c r="A522" s="4">
        <v>520</v>
      </c>
      <c r="B522" s="5" t="s">
        <v>1554</v>
      </c>
      <c r="C522" s="6">
        <v>46165</v>
      </c>
      <c r="D522" s="11" t="s">
        <v>15</v>
      </c>
      <c r="E522" s="16" t="s">
        <v>74</v>
      </c>
      <c r="F522" s="180" t="s">
        <v>75</v>
      </c>
      <c r="G522" s="147">
        <v>5</v>
      </c>
      <c r="H522" s="9" t="s">
        <v>886</v>
      </c>
      <c r="I522" s="10">
        <v>2000000</v>
      </c>
    </row>
    <row r="523" spans="1:9" x14ac:dyDescent="0.25">
      <c r="A523" s="4">
        <v>521</v>
      </c>
      <c r="B523" s="5" t="s">
        <v>1555</v>
      </c>
      <c r="C523" s="6">
        <v>46165</v>
      </c>
      <c r="D523" s="11" t="s">
        <v>21</v>
      </c>
      <c r="E523" s="16" t="s">
        <v>1558</v>
      </c>
      <c r="F523" s="16" t="s">
        <v>1559</v>
      </c>
      <c r="G523" s="147">
        <v>5</v>
      </c>
      <c r="H523" s="9"/>
      <c r="I523" s="10">
        <v>50000</v>
      </c>
    </row>
    <row r="524" spans="1:9" x14ac:dyDescent="0.25">
      <c r="A524" s="4">
        <v>522</v>
      </c>
      <c r="B524" s="5" t="s">
        <v>1556</v>
      </c>
      <c r="C524" s="6">
        <v>46165</v>
      </c>
      <c r="D524" s="11" t="s">
        <v>9</v>
      </c>
      <c r="E524" s="16" t="s">
        <v>1562</v>
      </c>
      <c r="F524" s="16" t="s">
        <v>1560</v>
      </c>
      <c r="G524" s="147">
        <v>5</v>
      </c>
      <c r="H524" s="9"/>
      <c r="I524" s="10">
        <v>125000</v>
      </c>
    </row>
    <row r="525" spans="1:9" x14ac:dyDescent="0.25">
      <c r="A525" s="4">
        <v>523</v>
      </c>
      <c r="B525" s="5" t="s">
        <v>1557</v>
      </c>
      <c r="C525" s="6">
        <v>46165</v>
      </c>
      <c r="D525" s="11" t="s">
        <v>9</v>
      </c>
      <c r="E525" s="16" t="s">
        <v>1562</v>
      </c>
      <c r="F525" s="16" t="s">
        <v>1561</v>
      </c>
      <c r="G525" s="147">
        <v>5</v>
      </c>
      <c r="H525" s="9"/>
      <c r="I525" s="10">
        <v>75000</v>
      </c>
    </row>
    <row r="526" spans="1:9" x14ac:dyDescent="0.25">
      <c r="A526" s="4">
        <v>524</v>
      </c>
      <c r="B526" s="5" t="s">
        <v>1563</v>
      </c>
      <c r="C526" s="6">
        <v>46166</v>
      </c>
      <c r="D526" s="11" t="s">
        <v>21</v>
      </c>
      <c r="E526" s="16" t="s">
        <v>102</v>
      </c>
      <c r="F526" s="16" t="s">
        <v>1548</v>
      </c>
      <c r="G526" s="147">
        <v>5</v>
      </c>
      <c r="H526" s="170" t="s">
        <v>1447</v>
      </c>
      <c r="I526" s="10">
        <v>28000</v>
      </c>
    </row>
    <row r="527" spans="1:9" ht="15.75" x14ac:dyDescent="0.25">
      <c r="A527" s="4">
        <v>525</v>
      </c>
      <c r="B527" s="5" t="s">
        <v>1565</v>
      </c>
      <c r="C527" s="6">
        <v>46167</v>
      </c>
      <c r="D527" s="11" t="s">
        <v>15</v>
      </c>
      <c r="E527" s="16" t="s">
        <v>463</v>
      </c>
      <c r="F527" s="180" t="s">
        <v>1102</v>
      </c>
      <c r="G527" s="147">
        <v>5</v>
      </c>
      <c r="H527" s="9" t="s">
        <v>886</v>
      </c>
      <c r="I527" s="10">
        <v>5000000</v>
      </c>
    </row>
    <row r="528" spans="1:9" x14ac:dyDescent="0.25">
      <c r="A528" s="4">
        <v>526</v>
      </c>
      <c r="B528" s="5" t="s">
        <v>1567</v>
      </c>
      <c r="C528" s="6">
        <v>46167</v>
      </c>
      <c r="D528" s="11" t="s">
        <v>23</v>
      </c>
      <c r="E528" s="16" t="s">
        <v>323</v>
      </c>
      <c r="F528" s="16" t="s">
        <v>106</v>
      </c>
      <c r="G528" s="147">
        <v>5</v>
      </c>
      <c r="H528" s="9"/>
      <c r="I528" s="10">
        <v>18000000</v>
      </c>
    </row>
    <row r="529" spans="1:14" ht="15.75" x14ac:dyDescent="0.25">
      <c r="A529" s="4">
        <v>527</v>
      </c>
      <c r="B529" s="5" t="s">
        <v>1574</v>
      </c>
      <c r="C529" s="6">
        <v>46173</v>
      </c>
      <c r="D529" s="11" t="s">
        <v>15</v>
      </c>
      <c r="E529" s="16" t="s">
        <v>334</v>
      </c>
      <c r="F529" s="180" t="s">
        <v>1575</v>
      </c>
      <c r="G529" s="147">
        <v>5</v>
      </c>
      <c r="H529" s="9" t="s">
        <v>886</v>
      </c>
      <c r="I529" s="10">
        <v>6000000</v>
      </c>
      <c r="K529" s="142"/>
    </row>
    <row r="530" spans="1:14" x14ac:dyDescent="0.25">
      <c r="A530" s="4">
        <v>528</v>
      </c>
      <c r="B530" s="5" t="s">
        <v>1573</v>
      </c>
      <c r="C530" s="6">
        <v>46173</v>
      </c>
      <c r="D530" s="11" t="s">
        <v>9</v>
      </c>
      <c r="E530" s="16" t="s">
        <v>1576</v>
      </c>
      <c r="F530" s="16" t="s">
        <v>1577</v>
      </c>
      <c r="G530" s="147">
        <v>5</v>
      </c>
      <c r="H530" s="9"/>
      <c r="I530" s="10">
        <v>1500000</v>
      </c>
    </row>
    <row r="531" spans="1:14" x14ac:dyDescent="0.25">
      <c r="A531" s="4">
        <v>529</v>
      </c>
      <c r="B531" s="5" t="s">
        <v>1578</v>
      </c>
      <c r="C531" s="6">
        <v>46173</v>
      </c>
      <c r="D531" s="11" t="s">
        <v>9</v>
      </c>
      <c r="E531" s="16" t="s">
        <v>1463</v>
      </c>
      <c r="F531" s="16" t="s">
        <v>1579</v>
      </c>
      <c r="G531" s="147">
        <v>5</v>
      </c>
      <c r="H531" s="9"/>
      <c r="I531" s="10">
        <v>500000</v>
      </c>
    </row>
    <row r="532" spans="1:14" ht="15.75" x14ac:dyDescent="0.25">
      <c r="A532" s="4">
        <v>530</v>
      </c>
      <c r="B532" s="5" t="s">
        <v>1581</v>
      </c>
      <c r="C532" s="6">
        <v>46174</v>
      </c>
      <c r="D532" s="11" t="s">
        <v>15</v>
      </c>
      <c r="E532" s="16" t="s">
        <v>444</v>
      </c>
      <c r="F532" s="180" t="s">
        <v>1498</v>
      </c>
      <c r="G532" s="147">
        <v>6</v>
      </c>
      <c r="H532" s="9" t="s">
        <v>886</v>
      </c>
      <c r="I532" s="10">
        <v>2000000</v>
      </c>
    </row>
    <row r="533" spans="1:14" x14ac:dyDescent="0.25">
      <c r="A533" s="4">
        <v>531</v>
      </c>
      <c r="B533" s="5" t="s">
        <v>1583</v>
      </c>
      <c r="C533" s="6">
        <v>46174</v>
      </c>
      <c r="D533" s="11" t="s">
        <v>23</v>
      </c>
      <c r="E533" s="16" t="s">
        <v>578</v>
      </c>
      <c r="F533" s="16" t="s">
        <v>1584</v>
      </c>
      <c r="G533" s="147">
        <v>6</v>
      </c>
      <c r="H533" s="9"/>
      <c r="I533" s="10">
        <v>7000000</v>
      </c>
    </row>
    <row r="534" spans="1:14" x14ac:dyDescent="0.25">
      <c r="A534" s="4">
        <v>532</v>
      </c>
      <c r="B534" s="5" t="s">
        <v>1585</v>
      </c>
      <c r="C534" s="6">
        <v>46174</v>
      </c>
      <c r="D534" s="11" t="s">
        <v>9</v>
      </c>
      <c r="E534" s="16" t="s">
        <v>97</v>
      </c>
      <c r="F534" s="16" t="s">
        <v>9</v>
      </c>
      <c r="G534" s="147">
        <v>6</v>
      </c>
      <c r="H534" s="9" t="s">
        <v>1586</v>
      </c>
      <c r="I534" s="10">
        <v>631000</v>
      </c>
    </row>
    <row r="535" spans="1:14" ht="14.25" customHeight="1" x14ac:dyDescent="0.25">
      <c r="A535" s="4">
        <v>533</v>
      </c>
      <c r="B535" s="5" t="s">
        <v>1593</v>
      </c>
      <c r="C535" s="6">
        <v>46175</v>
      </c>
      <c r="D535" s="11" t="s">
        <v>26</v>
      </c>
      <c r="E535" s="16" t="s">
        <v>323</v>
      </c>
      <c r="F535" s="114" t="s">
        <v>1597</v>
      </c>
      <c r="G535" s="147">
        <v>6</v>
      </c>
      <c r="H535" s="9" t="s">
        <v>886</v>
      </c>
      <c r="I535" s="10">
        <v>7650000</v>
      </c>
    </row>
    <row r="536" spans="1:14" x14ac:dyDescent="0.25">
      <c r="A536" s="4">
        <v>534</v>
      </c>
      <c r="B536" s="5" t="s">
        <v>1594</v>
      </c>
      <c r="C536" s="6">
        <v>46175</v>
      </c>
      <c r="D536" s="11" t="s">
        <v>26</v>
      </c>
      <c r="E536" s="16" t="s">
        <v>578</v>
      </c>
      <c r="F536" s="16" t="s">
        <v>1595</v>
      </c>
      <c r="G536" s="147">
        <v>6</v>
      </c>
      <c r="H536" s="9" t="s">
        <v>886</v>
      </c>
      <c r="I536" s="10">
        <v>2500000</v>
      </c>
    </row>
    <row r="537" spans="1:14" x14ac:dyDescent="0.25">
      <c r="A537" s="4">
        <v>535</v>
      </c>
      <c r="B537" s="5" t="s">
        <v>1596</v>
      </c>
      <c r="C537" s="6">
        <v>46175</v>
      </c>
      <c r="D537" s="11" t="s">
        <v>23</v>
      </c>
      <c r="E537" s="16" t="s">
        <v>578</v>
      </c>
      <c r="F537" s="16" t="s">
        <v>1584</v>
      </c>
      <c r="G537" s="147">
        <v>6</v>
      </c>
      <c r="H537" s="9"/>
      <c r="I537" s="10">
        <v>8000000</v>
      </c>
    </row>
    <row r="538" spans="1:14" x14ac:dyDescent="0.25">
      <c r="A538" s="4">
        <v>536</v>
      </c>
      <c r="B538" s="5" t="s">
        <v>1598</v>
      </c>
      <c r="C538" s="6">
        <v>46179</v>
      </c>
      <c r="D538" s="11" t="s">
        <v>21</v>
      </c>
      <c r="E538" s="16" t="s">
        <v>102</v>
      </c>
      <c r="F538" s="16" t="s">
        <v>103</v>
      </c>
      <c r="G538" s="147">
        <v>6</v>
      </c>
      <c r="H538" s="170" t="s">
        <v>1447</v>
      </c>
      <c r="I538" s="10">
        <v>16000</v>
      </c>
      <c r="N538" s="220"/>
    </row>
    <row r="539" spans="1:14" x14ac:dyDescent="0.25">
      <c r="A539" s="4">
        <v>537</v>
      </c>
      <c r="B539" s="5" t="s">
        <v>1599</v>
      </c>
      <c r="C539" s="6">
        <v>46179</v>
      </c>
      <c r="D539" s="11" t="s">
        <v>9</v>
      </c>
      <c r="E539" s="16" t="s">
        <v>1601</v>
      </c>
      <c r="F539" s="16" t="s">
        <v>1602</v>
      </c>
      <c r="G539" s="147">
        <v>6</v>
      </c>
      <c r="H539" s="230" t="s">
        <v>1606</v>
      </c>
      <c r="I539" s="10">
        <v>200000</v>
      </c>
      <c r="N539" s="220"/>
    </row>
    <row r="540" spans="1:14" x14ac:dyDescent="0.25">
      <c r="A540" s="4">
        <v>538</v>
      </c>
      <c r="B540" s="5" t="s">
        <v>1600</v>
      </c>
      <c r="C540" s="6">
        <v>46179</v>
      </c>
      <c r="D540" s="11" t="s">
        <v>21</v>
      </c>
      <c r="E540" s="16" t="s">
        <v>578</v>
      </c>
      <c r="F540" s="16" t="s">
        <v>1604</v>
      </c>
      <c r="G540" s="147">
        <v>6</v>
      </c>
      <c r="H540" s="9"/>
      <c r="I540" s="10">
        <v>350000</v>
      </c>
    </row>
    <row r="541" spans="1:14" x14ac:dyDescent="0.25">
      <c r="A541" s="4">
        <v>539</v>
      </c>
      <c r="B541" s="5" t="s">
        <v>1603</v>
      </c>
      <c r="C541" s="6">
        <v>46179</v>
      </c>
      <c r="D541" s="11" t="s">
        <v>26</v>
      </c>
      <c r="E541" s="16" t="s">
        <v>323</v>
      </c>
      <c r="F541" s="221" t="s">
        <v>1605</v>
      </c>
      <c r="G541" s="147">
        <v>6</v>
      </c>
      <c r="H541" s="9" t="s">
        <v>886</v>
      </c>
      <c r="I541" s="10">
        <v>700000</v>
      </c>
    </row>
    <row r="542" spans="1:14" x14ac:dyDescent="0.25">
      <c r="A542" s="4">
        <v>540</v>
      </c>
      <c r="B542" s="5" t="s">
        <v>1609</v>
      </c>
      <c r="C542" s="6">
        <v>46180</v>
      </c>
      <c r="D542" s="11" t="s">
        <v>26</v>
      </c>
      <c r="E542" s="16" t="s">
        <v>578</v>
      </c>
      <c r="F542" s="16" t="s">
        <v>1611</v>
      </c>
      <c r="G542" s="147">
        <v>6</v>
      </c>
      <c r="H542" s="9" t="s">
        <v>886</v>
      </c>
      <c r="I542" s="10">
        <v>1500000</v>
      </c>
    </row>
    <row r="543" spans="1:14" x14ac:dyDescent="0.25">
      <c r="A543" s="4">
        <v>541</v>
      </c>
      <c r="B543" s="5" t="s">
        <v>1610</v>
      </c>
      <c r="C543" s="6">
        <v>46180</v>
      </c>
      <c r="D543" s="11" t="s">
        <v>9</v>
      </c>
      <c r="E543" s="16" t="s">
        <v>17</v>
      </c>
      <c r="F543" s="16" t="s">
        <v>569</v>
      </c>
      <c r="G543" s="147">
        <v>6</v>
      </c>
      <c r="H543" s="9"/>
      <c r="I543" s="10">
        <v>1500000</v>
      </c>
    </row>
    <row r="544" spans="1:14" x14ac:dyDescent="0.25">
      <c r="A544" s="4">
        <v>542</v>
      </c>
      <c r="B544" s="5" t="s">
        <v>1612</v>
      </c>
      <c r="C544" s="6">
        <v>46180</v>
      </c>
      <c r="D544" s="11" t="s">
        <v>26</v>
      </c>
      <c r="E544" s="16" t="s">
        <v>578</v>
      </c>
      <c r="F544" s="221" t="s">
        <v>1619</v>
      </c>
      <c r="G544" s="147">
        <v>6</v>
      </c>
      <c r="H544" s="9" t="s">
        <v>886</v>
      </c>
      <c r="I544" s="10">
        <v>150000</v>
      </c>
    </row>
    <row r="545" spans="1:9" x14ac:dyDescent="0.25">
      <c r="A545" s="4">
        <v>543</v>
      </c>
      <c r="B545" s="5" t="s">
        <v>1613</v>
      </c>
      <c r="C545" s="6">
        <v>46180</v>
      </c>
      <c r="D545" s="11" t="s">
        <v>21</v>
      </c>
      <c r="E545" s="16" t="s">
        <v>1400</v>
      </c>
      <c r="F545" s="16" t="s">
        <v>163</v>
      </c>
      <c r="G545" s="147">
        <v>6</v>
      </c>
      <c r="H545" s="9"/>
      <c r="I545" s="10">
        <v>70000</v>
      </c>
    </row>
    <row r="546" spans="1:9" ht="15.75" x14ac:dyDescent="0.25">
      <c r="A546" s="4">
        <v>544</v>
      </c>
      <c r="B546" s="5" t="s">
        <v>1614</v>
      </c>
      <c r="C546" s="6">
        <v>46180</v>
      </c>
      <c r="D546" s="11" t="s">
        <v>587</v>
      </c>
      <c r="E546" s="16" t="s">
        <v>1067</v>
      </c>
      <c r="F546" s="13" t="s">
        <v>1645</v>
      </c>
      <c r="G546" s="147">
        <v>6</v>
      </c>
      <c r="H546" s="9"/>
      <c r="I546" s="10">
        <v>50000</v>
      </c>
    </row>
    <row r="547" spans="1:9" x14ac:dyDescent="0.25">
      <c r="A547" s="4">
        <v>545</v>
      </c>
      <c r="B547" s="5" t="s">
        <v>1616</v>
      </c>
      <c r="C547" s="6">
        <v>46181</v>
      </c>
      <c r="D547" s="11" t="s">
        <v>21</v>
      </c>
      <c r="E547" s="16" t="s">
        <v>17</v>
      </c>
      <c r="F547" s="16" t="s">
        <v>1617</v>
      </c>
      <c r="G547" s="147">
        <v>6</v>
      </c>
      <c r="H547" s="9"/>
      <c r="I547" s="10">
        <v>900000</v>
      </c>
    </row>
    <row r="548" spans="1:9" x14ac:dyDescent="0.25">
      <c r="A548" s="4">
        <v>546</v>
      </c>
      <c r="B548" s="5" t="s">
        <v>1618</v>
      </c>
      <c r="C548" s="6">
        <v>46181</v>
      </c>
      <c r="D548" s="11" t="s">
        <v>9</v>
      </c>
      <c r="E548" s="16" t="s">
        <v>1601</v>
      </c>
      <c r="F548" s="16" t="s">
        <v>1602</v>
      </c>
      <c r="G548" s="147">
        <v>6</v>
      </c>
      <c r="H548" s="9"/>
      <c r="I548" s="10">
        <v>520000</v>
      </c>
    </row>
    <row r="549" spans="1:9" x14ac:dyDescent="0.25">
      <c r="A549" s="4">
        <v>547</v>
      </c>
      <c r="B549" s="5" t="s">
        <v>1624</v>
      </c>
      <c r="C549" s="6">
        <v>46181</v>
      </c>
      <c r="D549" s="11" t="s">
        <v>9</v>
      </c>
      <c r="E549" s="16" t="s">
        <v>152</v>
      </c>
      <c r="F549" s="16" t="s">
        <v>1547</v>
      </c>
      <c r="G549" s="147">
        <v>6</v>
      </c>
      <c r="H549" s="9"/>
      <c r="I549" s="10">
        <v>250000</v>
      </c>
    </row>
    <row r="550" spans="1:9" x14ac:dyDescent="0.25">
      <c r="A550" s="4">
        <v>548</v>
      </c>
      <c r="B550" s="5" t="s">
        <v>1625</v>
      </c>
      <c r="C550" s="6">
        <v>46181</v>
      </c>
      <c r="D550" s="11" t="s">
        <v>9</v>
      </c>
      <c r="E550" s="16" t="s">
        <v>152</v>
      </c>
      <c r="F550" s="16" t="s">
        <v>1623</v>
      </c>
      <c r="G550" s="147">
        <v>6</v>
      </c>
      <c r="H550" s="9"/>
      <c r="I550" s="10">
        <v>100000</v>
      </c>
    </row>
    <row r="551" spans="1:9" x14ac:dyDescent="0.25">
      <c r="A551" s="4">
        <v>549</v>
      </c>
      <c r="B551" s="5" t="s">
        <v>1626</v>
      </c>
      <c r="C551" s="6">
        <v>46181</v>
      </c>
      <c r="D551" s="11" t="s">
        <v>9</v>
      </c>
      <c r="E551" s="16" t="s">
        <v>13</v>
      </c>
      <c r="F551" s="16" t="s">
        <v>1621</v>
      </c>
      <c r="G551" s="147">
        <v>6</v>
      </c>
      <c r="H551" s="9"/>
      <c r="I551" s="10">
        <v>1000000</v>
      </c>
    </row>
    <row r="552" spans="1:9" x14ac:dyDescent="0.25">
      <c r="A552" s="4">
        <v>550</v>
      </c>
      <c r="B552" s="5" t="s">
        <v>1627</v>
      </c>
      <c r="C552" s="6">
        <v>46181</v>
      </c>
      <c r="D552" s="11" t="s">
        <v>9</v>
      </c>
      <c r="E552" s="16" t="s">
        <v>13</v>
      </c>
      <c r="F552" s="16" t="s">
        <v>1622</v>
      </c>
      <c r="G552" s="147">
        <v>6</v>
      </c>
      <c r="H552" s="9"/>
      <c r="I552" s="10">
        <v>1000000</v>
      </c>
    </row>
    <row r="553" spans="1:9" x14ac:dyDescent="0.25">
      <c r="A553" s="4">
        <v>551</v>
      </c>
      <c r="B553" s="5" t="s">
        <v>1628</v>
      </c>
      <c r="C553" s="6">
        <v>46181</v>
      </c>
      <c r="D553" s="11" t="s">
        <v>9</v>
      </c>
      <c r="E553" s="16" t="s">
        <v>1629</v>
      </c>
      <c r="F553" s="16" t="s">
        <v>1630</v>
      </c>
      <c r="G553" s="147">
        <v>6</v>
      </c>
      <c r="H553" s="9" t="s">
        <v>1631</v>
      </c>
      <c r="I553" s="10">
        <v>1020000</v>
      </c>
    </row>
    <row r="554" spans="1:9" ht="15.75" x14ac:dyDescent="0.25">
      <c r="A554" s="4">
        <v>552</v>
      </c>
      <c r="B554" s="5" t="s">
        <v>1632</v>
      </c>
      <c r="C554" s="6">
        <v>46181</v>
      </c>
      <c r="D554" s="11" t="s">
        <v>15</v>
      </c>
      <c r="E554" s="16" t="s">
        <v>383</v>
      </c>
      <c r="F554" s="180" t="s">
        <v>1633</v>
      </c>
      <c r="G554" s="147">
        <v>6</v>
      </c>
      <c r="H554" s="9" t="s">
        <v>886</v>
      </c>
      <c r="I554" s="10">
        <v>6000000</v>
      </c>
    </row>
    <row r="555" spans="1:9" ht="15.75" x14ac:dyDescent="0.25">
      <c r="A555" s="4">
        <v>553</v>
      </c>
      <c r="B555" s="5" t="s">
        <v>1635</v>
      </c>
      <c r="C555" s="6">
        <v>46182</v>
      </c>
      <c r="D555" s="11" t="s">
        <v>15</v>
      </c>
      <c r="E555" s="16" t="s">
        <v>379</v>
      </c>
      <c r="F555" s="180" t="s">
        <v>1634</v>
      </c>
      <c r="G555" s="147">
        <v>6</v>
      </c>
      <c r="H555" s="9" t="s">
        <v>886</v>
      </c>
      <c r="I555" s="10">
        <v>6000000</v>
      </c>
    </row>
    <row r="556" spans="1:9" x14ac:dyDescent="0.25">
      <c r="A556" s="4">
        <v>554</v>
      </c>
      <c r="B556" s="5" t="s">
        <v>1636</v>
      </c>
      <c r="C556" s="6">
        <v>46182</v>
      </c>
      <c r="D556" s="11" t="s">
        <v>587</v>
      </c>
      <c r="E556" s="16" t="s">
        <v>92</v>
      </c>
      <c r="F556" s="16" t="s">
        <v>1645</v>
      </c>
      <c r="G556" s="147">
        <v>6</v>
      </c>
      <c r="H556" s="9"/>
      <c r="I556" s="10">
        <v>1500000</v>
      </c>
    </row>
    <row r="557" spans="1:9" x14ac:dyDescent="0.25">
      <c r="A557" s="4">
        <v>555</v>
      </c>
      <c r="B557" s="5" t="s">
        <v>1637</v>
      </c>
      <c r="C557" s="6">
        <v>46182</v>
      </c>
      <c r="D557" s="11" t="s">
        <v>587</v>
      </c>
      <c r="E557" s="16" t="s">
        <v>161</v>
      </c>
      <c r="F557" s="16" t="s">
        <v>1645</v>
      </c>
      <c r="G557" s="147">
        <v>6</v>
      </c>
      <c r="H557" s="9"/>
      <c r="I557" s="10">
        <v>600000</v>
      </c>
    </row>
    <row r="558" spans="1:9" x14ac:dyDescent="0.25">
      <c r="A558" s="4">
        <v>556</v>
      </c>
      <c r="B558" s="5" t="s">
        <v>1638</v>
      </c>
      <c r="C558" s="6">
        <v>46182</v>
      </c>
      <c r="D558" s="11" t="s">
        <v>587</v>
      </c>
      <c r="E558" s="16" t="s">
        <v>25</v>
      </c>
      <c r="F558" s="16" t="s">
        <v>1645</v>
      </c>
      <c r="G558" s="147">
        <v>6</v>
      </c>
      <c r="H558" s="9"/>
      <c r="I558" s="10">
        <v>450000</v>
      </c>
    </row>
    <row r="559" spans="1:9" x14ac:dyDescent="0.25">
      <c r="A559" s="4">
        <v>557</v>
      </c>
      <c r="B559" s="5" t="s">
        <v>1639</v>
      </c>
      <c r="C559" s="6">
        <v>46182</v>
      </c>
      <c r="D559" s="11" t="s">
        <v>587</v>
      </c>
      <c r="E559" s="16" t="s">
        <v>1023</v>
      </c>
      <c r="F559" s="16" t="s">
        <v>1646</v>
      </c>
      <c r="G559" s="147">
        <v>6</v>
      </c>
      <c r="H559" s="9"/>
      <c r="I559" s="10">
        <v>500000</v>
      </c>
    </row>
    <row r="560" spans="1:9" x14ac:dyDescent="0.25">
      <c r="A560" s="4">
        <v>558</v>
      </c>
      <c r="B560" s="5" t="s">
        <v>1640</v>
      </c>
      <c r="C560" s="6">
        <v>46182</v>
      </c>
      <c r="D560" s="11" t="s">
        <v>587</v>
      </c>
      <c r="E560" s="16" t="s">
        <v>989</v>
      </c>
      <c r="F560" s="16" t="s">
        <v>1646</v>
      </c>
      <c r="G560" s="147">
        <v>6</v>
      </c>
      <c r="H560" s="9"/>
      <c r="I560" s="10">
        <v>500000</v>
      </c>
    </row>
    <row r="561" spans="1:9" x14ac:dyDescent="0.25">
      <c r="A561" s="4">
        <v>559</v>
      </c>
      <c r="B561" s="5" t="s">
        <v>1641</v>
      </c>
      <c r="C561" s="6">
        <v>46182</v>
      </c>
      <c r="D561" s="11" t="s">
        <v>587</v>
      </c>
      <c r="E561" s="16" t="s">
        <v>1644</v>
      </c>
      <c r="F561" s="16" t="s">
        <v>1646</v>
      </c>
      <c r="G561" s="147">
        <v>6</v>
      </c>
      <c r="H561" s="9"/>
      <c r="I561" s="10">
        <v>650000</v>
      </c>
    </row>
    <row r="562" spans="1:9" x14ac:dyDescent="0.25">
      <c r="A562" s="4">
        <v>560</v>
      </c>
      <c r="B562" s="5" t="s">
        <v>1642</v>
      </c>
      <c r="C562" s="6">
        <v>46182</v>
      </c>
      <c r="D562" s="11" t="s">
        <v>587</v>
      </c>
      <c r="E562" s="16" t="s">
        <v>55</v>
      </c>
      <c r="F562" s="16" t="s">
        <v>1646</v>
      </c>
      <c r="G562" s="147">
        <v>6</v>
      </c>
      <c r="H562" s="9"/>
      <c r="I562" s="10">
        <v>500000</v>
      </c>
    </row>
    <row r="563" spans="1:9" x14ac:dyDescent="0.25">
      <c r="A563" s="4">
        <v>561</v>
      </c>
      <c r="B563" s="5" t="s">
        <v>1643</v>
      </c>
      <c r="C563" s="6">
        <v>46182</v>
      </c>
      <c r="D563" s="11" t="s">
        <v>587</v>
      </c>
      <c r="E563" s="16" t="s">
        <v>59</v>
      </c>
      <c r="F563" s="16" t="s">
        <v>1646</v>
      </c>
      <c r="G563" s="147">
        <v>6</v>
      </c>
      <c r="H563" s="9"/>
      <c r="I563" s="10">
        <v>650000</v>
      </c>
    </row>
    <row r="564" spans="1:9" x14ac:dyDescent="0.25">
      <c r="A564" s="4">
        <v>562</v>
      </c>
      <c r="B564" s="5" t="s">
        <v>1647</v>
      </c>
      <c r="C564" s="6">
        <v>46182</v>
      </c>
      <c r="D564" s="11" t="s">
        <v>587</v>
      </c>
      <c r="E564" s="16" t="s">
        <v>102</v>
      </c>
      <c r="F564" s="16" t="s">
        <v>1646</v>
      </c>
      <c r="G564" s="147">
        <v>6</v>
      </c>
      <c r="H564" s="9"/>
      <c r="I564" s="10">
        <v>500000</v>
      </c>
    </row>
    <row r="565" spans="1:9" x14ac:dyDescent="0.25">
      <c r="A565" s="4">
        <v>563</v>
      </c>
      <c r="B565" s="5" t="s">
        <v>1648</v>
      </c>
      <c r="C565" s="6">
        <v>46182</v>
      </c>
      <c r="D565" s="11" t="s">
        <v>21</v>
      </c>
      <c r="E565" s="16" t="s">
        <v>102</v>
      </c>
      <c r="F565" s="16" t="s">
        <v>103</v>
      </c>
      <c r="G565" s="147">
        <v>6</v>
      </c>
      <c r="H565" s="9" t="s">
        <v>1447</v>
      </c>
      <c r="I565" s="10">
        <v>52000</v>
      </c>
    </row>
    <row r="566" spans="1:9" x14ac:dyDescent="0.25">
      <c r="A566" s="4">
        <v>564</v>
      </c>
      <c r="B566" s="5" t="s">
        <v>1649</v>
      </c>
      <c r="C566" s="6">
        <v>46182</v>
      </c>
      <c r="D566" s="11" t="s">
        <v>9</v>
      </c>
      <c r="E566" s="16" t="s">
        <v>1576</v>
      </c>
      <c r="F566" s="16" t="s">
        <v>1650</v>
      </c>
      <c r="G566" s="147">
        <v>6</v>
      </c>
      <c r="H566" s="9"/>
      <c r="I566" s="10">
        <v>3824000</v>
      </c>
    </row>
    <row r="567" spans="1:9" ht="15.75" x14ac:dyDescent="0.25">
      <c r="A567" s="4">
        <v>565</v>
      </c>
      <c r="B567" s="5" t="s">
        <v>1657</v>
      </c>
      <c r="C567" s="6">
        <v>46182</v>
      </c>
      <c r="D567" s="11" t="s">
        <v>15</v>
      </c>
      <c r="E567" s="16" t="s">
        <v>754</v>
      </c>
      <c r="F567" s="180" t="s">
        <v>1658</v>
      </c>
      <c r="G567" s="147">
        <v>6</v>
      </c>
      <c r="H567" s="9" t="s">
        <v>886</v>
      </c>
      <c r="I567" s="10">
        <v>96000000</v>
      </c>
    </row>
    <row r="568" spans="1:9" x14ac:dyDescent="0.25">
      <c r="A568" s="4">
        <v>566</v>
      </c>
      <c r="B568" s="5" t="s">
        <v>1651</v>
      </c>
      <c r="C568" s="6">
        <v>46182</v>
      </c>
      <c r="D568" s="11" t="s">
        <v>587</v>
      </c>
      <c r="E568" s="16" t="s">
        <v>1378</v>
      </c>
      <c r="F568" s="16" t="s">
        <v>1645</v>
      </c>
      <c r="G568" s="147">
        <v>6</v>
      </c>
      <c r="H568" s="9"/>
      <c r="I568" s="10">
        <v>500000</v>
      </c>
    </row>
    <row r="569" spans="1:9" x14ac:dyDescent="0.25">
      <c r="A569" s="4">
        <v>567</v>
      </c>
      <c r="B569" s="5" t="s">
        <v>1652</v>
      </c>
      <c r="C569" s="6">
        <v>46182</v>
      </c>
      <c r="D569" s="11" t="s">
        <v>9</v>
      </c>
      <c r="E569" s="16" t="s">
        <v>97</v>
      </c>
      <c r="F569" s="16" t="s">
        <v>9</v>
      </c>
      <c r="G569" s="147">
        <v>6</v>
      </c>
      <c r="H569" s="9"/>
      <c r="I569" s="10">
        <v>965000</v>
      </c>
    </row>
    <row r="570" spans="1:9" x14ac:dyDescent="0.25">
      <c r="A570" s="4">
        <v>568</v>
      </c>
      <c r="B570" s="5" t="s">
        <v>1653</v>
      </c>
      <c r="C570" s="6">
        <v>46182</v>
      </c>
      <c r="D570" s="11" t="s">
        <v>587</v>
      </c>
      <c r="E570" s="16" t="s">
        <v>1656</v>
      </c>
      <c r="F570" s="16" t="s">
        <v>1645</v>
      </c>
      <c r="G570" s="147">
        <v>6</v>
      </c>
      <c r="H570" s="9"/>
      <c r="I570" s="10">
        <v>800000</v>
      </c>
    </row>
    <row r="571" spans="1:9" x14ac:dyDescent="0.25">
      <c r="A571" s="4">
        <v>569</v>
      </c>
      <c r="B571" s="5" t="s">
        <v>1654</v>
      </c>
      <c r="C571" s="6">
        <v>46182</v>
      </c>
      <c r="D571" s="11" t="s">
        <v>587</v>
      </c>
      <c r="E571" s="16" t="s">
        <v>97</v>
      </c>
      <c r="F571" s="16" t="s">
        <v>1645</v>
      </c>
      <c r="G571" s="147">
        <v>6</v>
      </c>
      <c r="H571" s="9"/>
      <c r="I571" s="10">
        <v>1000000</v>
      </c>
    </row>
    <row r="572" spans="1:9" x14ac:dyDescent="0.25">
      <c r="A572" s="4">
        <v>570</v>
      </c>
      <c r="B572" s="5" t="s">
        <v>1655</v>
      </c>
      <c r="C572" s="6">
        <v>46182</v>
      </c>
      <c r="D572" s="11" t="s">
        <v>587</v>
      </c>
      <c r="E572" s="16" t="s">
        <v>1276</v>
      </c>
      <c r="F572" s="16" t="s">
        <v>1645</v>
      </c>
      <c r="G572" s="147">
        <v>6</v>
      </c>
      <c r="H572" s="9"/>
      <c r="I572" s="10">
        <v>700000</v>
      </c>
    </row>
    <row r="573" spans="1:9" x14ac:dyDescent="0.25">
      <c r="A573" s="4">
        <v>571</v>
      </c>
      <c r="B573" s="5" t="s">
        <v>1659</v>
      </c>
      <c r="C573" s="6">
        <v>46183</v>
      </c>
      <c r="D573" s="11" t="s">
        <v>23</v>
      </c>
      <c r="E573" s="16" t="s">
        <v>1660</v>
      </c>
      <c r="F573" s="16" t="s">
        <v>1661</v>
      </c>
      <c r="G573" s="147">
        <v>6</v>
      </c>
      <c r="H573" s="9"/>
      <c r="I573" s="10">
        <v>46000000</v>
      </c>
    </row>
    <row r="574" spans="1:9" x14ac:dyDescent="0.25">
      <c r="A574" s="4">
        <v>572</v>
      </c>
      <c r="B574" s="5" t="s">
        <v>1663</v>
      </c>
      <c r="C574" s="6">
        <v>46183</v>
      </c>
      <c r="D574" s="11" t="s">
        <v>23</v>
      </c>
      <c r="E574" s="16" t="s">
        <v>578</v>
      </c>
      <c r="F574" s="16" t="s">
        <v>1664</v>
      </c>
      <c r="G574" s="147">
        <v>6</v>
      </c>
      <c r="H574" s="9"/>
      <c r="I574" s="10">
        <v>3000000</v>
      </c>
    </row>
    <row r="575" spans="1:9" x14ac:dyDescent="0.25">
      <c r="A575" s="4">
        <v>573</v>
      </c>
      <c r="B575" s="5" t="s">
        <v>1667</v>
      </c>
      <c r="C575" s="6">
        <v>46183</v>
      </c>
      <c r="D575" s="11" t="s">
        <v>9</v>
      </c>
      <c r="E575" s="16" t="s">
        <v>1464</v>
      </c>
      <c r="F575" s="16" t="s">
        <v>1466</v>
      </c>
      <c r="G575" s="147">
        <v>6</v>
      </c>
      <c r="H575" s="9"/>
      <c r="I575" s="10">
        <v>200000</v>
      </c>
    </row>
    <row r="576" spans="1:9" x14ac:dyDescent="0.25">
      <c r="A576" s="4">
        <v>574</v>
      </c>
      <c r="B576" s="5" t="s">
        <v>1669</v>
      </c>
      <c r="C576" s="6">
        <v>46183</v>
      </c>
      <c r="D576" s="11" t="s">
        <v>9</v>
      </c>
      <c r="E576" s="16" t="s">
        <v>171</v>
      </c>
      <c r="F576" s="16" t="s">
        <v>1666</v>
      </c>
      <c r="G576" s="147">
        <v>6</v>
      </c>
      <c r="H576" s="9"/>
      <c r="I576" s="10">
        <v>13100000</v>
      </c>
    </row>
    <row r="577" spans="1:14" x14ac:dyDescent="0.25">
      <c r="A577" s="4">
        <v>575</v>
      </c>
      <c r="B577" s="5" t="s">
        <v>1671</v>
      </c>
      <c r="C577" s="6">
        <v>46187</v>
      </c>
      <c r="D577" s="11" t="s">
        <v>23</v>
      </c>
      <c r="E577" s="16" t="s">
        <v>578</v>
      </c>
      <c r="F577" s="16" t="s">
        <v>1719</v>
      </c>
      <c r="G577" s="147">
        <v>6</v>
      </c>
      <c r="H577" s="9"/>
      <c r="I577" s="10">
        <v>900000</v>
      </c>
    </row>
    <row r="578" spans="1:14" ht="15.75" x14ac:dyDescent="0.25">
      <c r="A578" s="4">
        <v>576</v>
      </c>
      <c r="B578" s="5" t="s">
        <v>1674</v>
      </c>
      <c r="C578" s="6">
        <v>46191</v>
      </c>
      <c r="D578" s="11" t="s">
        <v>15</v>
      </c>
      <c r="E578" s="16" t="s">
        <v>327</v>
      </c>
      <c r="F578" s="180" t="s">
        <v>1683</v>
      </c>
      <c r="G578" s="147">
        <v>6</v>
      </c>
      <c r="H578" s="9" t="s">
        <v>886</v>
      </c>
      <c r="I578" s="10">
        <v>6000000</v>
      </c>
    </row>
    <row r="579" spans="1:14" ht="15.75" x14ac:dyDescent="0.25">
      <c r="A579" s="4">
        <v>577</v>
      </c>
      <c r="B579" s="5" t="s">
        <v>1675</v>
      </c>
      <c r="C579" s="6">
        <v>46191</v>
      </c>
      <c r="D579" s="11" t="s">
        <v>15</v>
      </c>
      <c r="E579" s="16" t="s">
        <v>48</v>
      </c>
      <c r="F579" s="180" t="s">
        <v>49</v>
      </c>
      <c r="G579" s="147">
        <v>6</v>
      </c>
      <c r="H579" s="9" t="s">
        <v>886</v>
      </c>
      <c r="I579" s="10">
        <v>6000000</v>
      </c>
    </row>
    <row r="580" spans="1:14" x14ac:dyDescent="0.25">
      <c r="A580" s="4">
        <v>578</v>
      </c>
      <c r="B580" s="5" t="s">
        <v>1676</v>
      </c>
      <c r="C580" s="6">
        <v>46191</v>
      </c>
      <c r="D580" s="11" t="s">
        <v>9</v>
      </c>
      <c r="E580" s="16" t="s">
        <v>1685</v>
      </c>
      <c r="F580" s="16" t="s">
        <v>1698</v>
      </c>
      <c r="G580" s="147">
        <v>6</v>
      </c>
      <c r="H580" s="9"/>
      <c r="I580" s="10">
        <v>2280000</v>
      </c>
    </row>
    <row r="581" spans="1:14" x14ac:dyDescent="0.25">
      <c r="A581" s="4">
        <v>579</v>
      </c>
      <c r="B581" s="5" t="s">
        <v>1677</v>
      </c>
      <c r="C581" s="6">
        <v>46191</v>
      </c>
      <c r="D581" s="11" t="s">
        <v>9</v>
      </c>
      <c r="E581" s="16" t="s">
        <v>1463</v>
      </c>
      <c r="F581" s="16" t="s">
        <v>1689</v>
      </c>
      <c r="G581" s="147">
        <v>6</v>
      </c>
      <c r="H581" s="9"/>
      <c r="I581" s="10">
        <v>500000</v>
      </c>
    </row>
    <row r="582" spans="1:14" x14ac:dyDescent="0.25">
      <c r="A582" s="4"/>
      <c r="B582" s="5" t="s">
        <v>1868</v>
      </c>
      <c r="C582" s="6">
        <v>46191</v>
      </c>
      <c r="D582" s="11" t="s">
        <v>23</v>
      </c>
      <c r="E582" s="16" t="s">
        <v>1749</v>
      </c>
      <c r="F582" s="16" t="s">
        <v>1869</v>
      </c>
      <c r="G582" s="147">
        <v>6</v>
      </c>
      <c r="H582" s="9"/>
      <c r="I582" s="10">
        <v>15000000</v>
      </c>
    </row>
    <row r="583" spans="1:14" x14ac:dyDescent="0.25">
      <c r="A583" s="4">
        <v>580</v>
      </c>
      <c r="B583" s="5" t="s">
        <v>1678</v>
      </c>
      <c r="C583" s="6">
        <v>46191</v>
      </c>
      <c r="D583" s="11" t="s">
        <v>9</v>
      </c>
      <c r="E583" s="16" t="s">
        <v>114</v>
      </c>
      <c r="F583" s="16" t="s">
        <v>1699</v>
      </c>
      <c r="G583" s="147">
        <v>6</v>
      </c>
      <c r="H583" s="9"/>
      <c r="I583" s="10">
        <v>900000</v>
      </c>
    </row>
    <row r="584" spans="1:14" x14ac:dyDescent="0.25">
      <c r="A584" s="4">
        <v>581</v>
      </c>
      <c r="B584" s="5" t="s">
        <v>1679</v>
      </c>
      <c r="C584" s="6">
        <v>46191</v>
      </c>
      <c r="D584" s="11" t="s">
        <v>9</v>
      </c>
      <c r="E584" s="16" t="s">
        <v>13</v>
      </c>
      <c r="F584" s="16" t="s">
        <v>1690</v>
      </c>
      <c r="G584" s="147">
        <v>6</v>
      </c>
      <c r="H584" s="9"/>
      <c r="I584" s="10">
        <v>1000000</v>
      </c>
    </row>
    <row r="585" spans="1:14" x14ac:dyDescent="0.25">
      <c r="A585" s="4">
        <v>582</v>
      </c>
      <c r="B585" s="5" t="s">
        <v>1680</v>
      </c>
      <c r="C585" s="6">
        <v>46191</v>
      </c>
      <c r="D585" s="11" t="s">
        <v>9</v>
      </c>
      <c r="E585" s="16" t="s">
        <v>13</v>
      </c>
      <c r="F585" s="16" t="s">
        <v>1691</v>
      </c>
      <c r="G585" s="147">
        <v>6</v>
      </c>
      <c r="H585" s="9"/>
      <c r="I585" s="10">
        <v>900000</v>
      </c>
    </row>
    <row r="586" spans="1:14" x14ac:dyDescent="0.25">
      <c r="A586" s="4">
        <v>583</v>
      </c>
      <c r="B586" s="5" t="s">
        <v>1681</v>
      </c>
      <c r="C586" s="6">
        <v>46191</v>
      </c>
      <c r="D586" s="11" t="s">
        <v>23</v>
      </c>
      <c r="E586" s="16" t="s">
        <v>578</v>
      </c>
      <c r="F586" s="16" t="s">
        <v>1696</v>
      </c>
      <c r="G586" s="147">
        <v>6</v>
      </c>
      <c r="H586" s="9"/>
      <c r="I586" s="10">
        <v>2000000</v>
      </c>
    </row>
    <row r="587" spans="1:14" ht="15.75" x14ac:dyDescent="0.25">
      <c r="A587" s="4">
        <v>584</v>
      </c>
      <c r="B587" s="5" t="s">
        <v>1682</v>
      </c>
      <c r="C587" s="6">
        <v>46191</v>
      </c>
      <c r="D587" s="11" t="s">
        <v>15</v>
      </c>
      <c r="E587" s="16" t="s">
        <v>754</v>
      </c>
      <c r="F587" s="180" t="s">
        <v>1658</v>
      </c>
      <c r="G587" s="147">
        <v>6</v>
      </c>
      <c r="H587" s="9" t="s">
        <v>886</v>
      </c>
      <c r="I587" s="10">
        <v>25000000</v>
      </c>
      <c r="M587" s="220"/>
      <c r="N587" s="220"/>
    </row>
    <row r="588" spans="1:14" x14ac:dyDescent="0.25">
      <c r="A588" s="4">
        <v>585</v>
      </c>
      <c r="B588" s="5" t="s">
        <v>1684</v>
      </c>
      <c r="C588" s="6">
        <v>46191</v>
      </c>
      <c r="D588" s="11" t="s">
        <v>23</v>
      </c>
      <c r="E588" s="16" t="s">
        <v>578</v>
      </c>
      <c r="F588" s="16" t="s">
        <v>1718</v>
      </c>
      <c r="G588" s="147">
        <v>6</v>
      </c>
      <c r="H588" s="9"/>
      <c r="I588" s="10">
        <v>4500000</v>
      </c>
    </row>
    <row r="589" spans="1:14" ht="15.75" x14ac:dyDescent="0.25">
      <c r="A589" s="4">
        <v>586</v>
      </c>
      <c r="B589" s="5" t="s">
        <v>1686</v>
      </c>
      <c r="C589" s="6">
        <v>46191</v>
      </c>
      <c r="D589" s="11" t="s">
        <v>9</v>
      </c>
      <c r="E589" s="16" t="s">
        <v>1200</v>
      </c>
      <c r="F589" s="13" t="s">
        <v>1688</v>
      </c>
      <c r="G589" s="147">
        <v>6</v>
      </c>
      <c r="H589" s="9"/>
      <c r="I589" s="10">
        <v>2800000</v>
      </c>
    </row>
    <row r="590" spans="1:14" ht="15.75" x14ac:dyDescent="0.25">
      <c r="A590" s="4">
        <v>587</v>
      </c>
      <c r="B590" s="5" t="s">
        <v>1692</v>
      </c>
      <c r="C590" s="6">
        <v>46191</v>
      </c>
      <c r="D590" s="11" t="s">
        <v>21</v>
      </c>
      <c r="E590" s="16" t="s">
        <v>1687</v>
      </c>
      <c r="F590" s="13" t="s">
        <v>1945</v>
      </c>
      <c r="G590" s="147">
        <v>6</v>
      </c>
      <c r="H590" s="9"/>
      <c r="I590" s="10">
        <v>200000</v>
      </c>
    </row>
    <row r="591" spans="1:14" x14ac:dyDescent="0.25">
      <c r="A591" s="4">
        <v>588</v>
      </c>
      <c r="B591" s="5" t="s">
        <v>1693</v>
      </c>
      <c r="C591" s="6">
        <v>46191</v>
      </c>
      <c r="D591" s="11" t="s">
        <v>23</v>
      </c>
      <c r="E591" s="16" t="s">
        <v>578</v>
      </c>
      <c r="F591" s="16" t="s">
        <v>1695</v>
      </c>
      <c r="G591" s="147">
        <v>6</v>
      </c>
      <c r="H591" s="9"/>
      <c r="I591" s="10">
        <v>1000000</v>
      </c>
    </row>
    <row r="592" spans="1:14" x14ac:dyDescent="0.25">
      <c r="A592" s="4">
        <v>589</v>
      </c>
      <c r="B592" s="5" t="s">
        <v>1694</v>
      </c>
      <c r="C592" s="6">
        <v>46191</v>
      </c>
      <c r="D592" s="11" t="s">
        <v>9</v>
      </c>
      <c r="E592" s="16" t="s">
        <v>1601</v>
      </c>
      <c r="F592" s="16" t="s">
        <v>1697</v>
      </c>
      <c r="G592" s="147">
        <v>6</v>
      </c>
      <c r="H592" s="9"/>
      <c r="I592" s="10">
        <v>300000</v>
      </c>
    </row>
    <row r="593" spans="1:9" x14ac:dyDescent="0.25">
      <c r="A593" s="4">
        <v>590</v>
      </c>
      <c r="B593" s="5" t="s">
        <v>1700</v>
      </c>
      <c r="C593" s="6">
        <v>46191</v>
      </c>
      <c r="D593" s="11" t="s">
        <v>9</v>
      </c>
      <c r="E593" s="16" t="s">
        <v>10</v>
      </c>
      <c r="F593" s="16" t="s">
        <v>1701</v>
      </c>
      <c r="G593" s="147">
        <v>6</v>
      </c>
      <c r="H593" s="9"/>
      <c r="I593" s="10">
        <v>200000</v>
      </c>
    </row>
    <row r="594" spans="1:9" x14ac:dyDescent="0.25">
      <c r="A594" s="4">
        <v>591</v>
      </c>
      <c r="B594" s="5" t="s">
        <v>1702</v>
      </c>
      <c r="C594" s="6">
        <v>46193</v>
      </c>
      <c r="D594" s="11" t="s">
        <v>587</v>
      </c>
      <c r="E594" s="16" t="s">
        <v>1709</v>
      </c>
      <c r="F594" s="16" t="s">
        <v>1645</v>
      </c>
      <c r="G594" s="147">
        <v>6</v>
      </c>
      <c r="H594" s="9" t="s">
        <v>1710</v>
      </c>
      <c r="I594" s="10">
        <v>350000</v>
      </c>
    </row>
    <row r="595" spans="1:9" ht="15.75" x14ac:dyDescent="0.25">
      <c r="A595" s="4">
        <v>592</v>
      </c>
      <c r="B595" s="5" t="s">
        <v>1703</v>
      </c>
      <c r="C595" s="6">
        <v>46193</v>
      </c>
      <c r="D595" s="11" t="s">
        <v>15</v>
      </c>
      <c r="E595" s="16" t="s">
        <v>400</v>
      </c>
      <c r="F595" s="180" t="s">
        <v>1711</v>
      </c>
      <c r="G595" s="147">
        <v>6</v>
      </c>
      <c r="H595" s="9" t="s">
        <v>886</v>
      </c>
      <c r="I595" s="10">
        <v>7000000</v>
      </c>
    </row>
    <row r="596" spans="1:9" x14ac:dyDescent="0.25">
      <c r="A596" s="4">
        <v>593</v>
      </c>
      <c r="B596" s="5" t="s">
        <v>1704</v>
      </c>
      <c r="C596" s="6">
        <v>46193</v>
      </c>
      <c r="D596" s="11" t="s">
        <v>9</v>
      </c>
      <c r="E596" s="16" t="s">
        <v>1576</v>
      </c>
      <c r="F596" s="16" t="s">
        <v>1712</v>
      </c>
      <c r="G596" s="147">
        <v>6</v>
      </c>
      <c r="H596" s="9" t="s">
        <v>1723</v>
      </c>
      <c r="I596" s="10">
        <v>1713000</v>
      </c>
    </row>
    <row r="597" spans="1:9" x14ac:dyDescent="0.25">
      <c r="A597" s="4">
        <v>594</v>
      </c>
      <c r="B597" s="5" t="s">
        <v>1705</v>
      </c>
      <c r="C597" s="6">
        <v>46193</v>
      </c>
      <c r="D597" s="11" t="s">
        <v>9</v>
      </c>
      <c r="E597" s="16" t="s">
        <v>1262</v>
      </c>
      <c r="F597" s="16" t="s">
        <v>1713</v>
      </c>
      <c r="G597" s="147">
        <v>6</v>
      </c>
      <c r="H597" s="9"/>
      <c r="I597" s="10">
        <v>591000</v>
      </c>
    </row>
    <row r="598" spans="1:9" x14ac:dyDescent="0.25">
      <c r="A598" s="4">
        <v>595</v>
      </c>
      <c r="B598" s="5" t="s">
        <v>1706</v>
      </c>
      <c r="C598" s="6">
        <v>46193</v>
      </c>
      <c r="D598" s="11" t="s">
        <v>21</v>
      </c>
      <c r="E598" s="16" t="s">
        <v>1139</v>
      </c>
      <c r="F598" s="16" t="s">
        <v>1714</v>
      </c>
      <c r="G598" s="147">
        <v>6</v>
      </c>
      <c r="H598" s="9"/>
      <c r="I598" s="10">
        <v>125000</v>
      </c>
    </row>
    <row r="599" spans="1:9" x14ac:dyDescent="0.25">
      <c r="A599" s="4">
        <v>596</v>
      </c>
      <c r="B599" s="5" t="s">
        <v>1707</v>
      </c>
      <c r="C599" s="6">
        <v>46193</v>
      </c>
      <c r="D599" s="11" t="s">
        <v>9</v>
      </c>
      <c r="E599" s="16" t="s">
        <v>1489</v>
      </c>
      <c r="F599" s="16" t="s">
        <v>1715</v>
      </c>
      <c r="G599" s="147">
        <v>6</v>
      </c>
      <c r="H599" s="9"/>
      <c r="I599" s="10">
        <v>2565000</v>
      </c>
    </row>
    <row r="600" spans="1:9" x14ac:dyDescent="0.25">
      <c r="A600" s="4">
        <v>597</v>
      </c>
      <c r="B600" s="5" t="s">
        <v>1708</v>
      </c>
      <c r="C600" s="6">
        <v>46193</v>
      </c>
      <c r="D600" s="11" t="s">
        <v>21</v>
      </c>
      <c r="E600" s="16" t="s">
        <v>1056</v>
      </c>
      <c r="F600" s="16" t="s">
        <v>1716</v>
      </c>
      <c r="G600" s="147">
        <v>6</v>
      </c>
      <c r="H600" s="9"/>
      <c r="I600" s="10">
        <v>80000</v>
      </c>
    </row>
    <row r="601" spans="1:9" x14ac:dyDescent="0.25">
      <c r="A601" s="4">
        <v>598</v>
      </c>
      <c r="B601" s="5" t="s">
        <v>1720</v>
      </c>
      <c r="C601" s="6">
        <v>46194</v>
      </c>
      <c r="D601" s="11" t="s">
        <v>9</v>
      </c>
      <c r="E601" s="16" t="s">
        <v>1200</v>
      </c>
      <c r="F601" s="16" t="s">
        <v>1722</v>
      </c>
      <c r="G601" s="147">
        <v>6</v>
      </c>
      <c r="H601" s="9"/>
      <c r="I601" s="10">
        <v>1000000</v>
      </c>
    </row>
    <row r="602" spans="1:9" x14ac:dyDescent="0.25">
      <c r="A602" s="4">
        <v>599</v>
      </c>
      <c r="B602" s="5" t="s">
        <v>1721</v>
      </c>
      <c r="C602" s="6">
        <v>46194</v>
      </c>
      <c r="D602" s="11" t="s">
        <v>21</v>
      </c>
      <c r="E602" s="16" t="s">
        <v>1135</v>
      </c>
      <c r="F602" s="16" t="s">
        <v>100</v>
      </c>
      <c r="G602" s="147">
        <v>6</v>
      </c>
      <c r="H602" s="9"/>
      <c r="I602" s="10">
        <v>2500000</v>
      </c>
    </row>
    <row r="603" spans="1:9" x14ac:dyDescent="0.25">
      <c r="A603" s="4">
        <v>600</v>
      </c>
      <c r="B603" s="5" t="s">
        <v>1724</v>
      </c>
      <c r="C603" s="6">
        <v>46194</v>
      </c>
      <c r="D603" s="11" t="s">
        <v>21</v>
      </c>
      <c r="E603" s="16" t="s">
        <v>989</v>
      </c>
      <c r="F603" s="16" t="s">
        <v>1725</v>
      </c>
      <c r="G603" s="147">
        <v>6</v>
      </c>
      <c r="H603" s="9"/>
      <c r="I603" s="10">
        <v>15000</v>
      </c>
    </row>
    <row r="604" spans="1:9" ht="15.75" x14ac:dyDescent="0.25">
      <c r="A604" s="4">
        <v>601</v>
      </c>
      <c r="B604" s="5" t="s">
        <v>1727</v>
      </c>
      <c r="C604" s="6">
        <v>46194</v>
      </c>
      <c r="D604" s="11" t="s">
        <v>15</v>
      </c>
      <c r="E604" s="16" t="s">
        <v>1726</v>
      </c>
      <c r="F604" s="180" t="s">
        <v>1062</v>
      </c>
      <c r="G604" s="147">
        <v>6</v>
      </c>
      <c r="H604" s="9" t="s">
        <v>799</v>
      </c>
      <c r="I604" s="10">
        <v>135000000</v>
      </c>
    </row>
    <row r="605" spans="1:9" ht="15.75" x14ac:dyDescent="0.25">
      <c r="A605" s="4">
        <v>602</v>
      </c>
      <c r="B605" s="5" t="s">
        <v>1731</v>
      </c>
      <c r="C605" s="6">
        <v>46202</v>
      </c>
      <c r="D605" s="11" t="s">
        <v>15</v>
      </c>
      <c r="E605" s="16" t="s">
        <v>1729</v>
      </c>
      <c r="F605" s="180" t="s">
        <v>1061</v>
      </c>
      <c r="G605" s="147">
        <v>6</v>
      </c>
      <c r="H605" s="9" t="s">
        <v>799</v>
      </c>
      <c r="I605" s="10">
        <v>135000000</v>
      </c>
    </row>
    <row r="606" spans="1:9" ht="15.75" x14ac:dyDescent="0.25">
      <c r="A606" s="4">
        <v>603</v>
      </c>
      <c r="B606" s="5" t="s">
        <v>1732</v>
      </c>
      <c r="C606" s="6">
        <v>46202</v>
      </c>
      <c r="D606" s="11" t="s">
        <v>15</v>
      </c>
      <c r="E606" s="16" t="s">
        <v>1730</v>
      </c>
      <c r="F606" s="180" t="s">
        <v>755</v>
      </c>
      <c r="G606" s="147">
        <v>6</v>
      </c>
      <c r="H606" s="9" t="s">
        <v>799</v>
      </c>
      <c r="I606" s="10">
        <v>70000000</v>
      </c>
    </row>
    <row r="607" spans="1:9" x14ac:dyDescent="0.25">
      <c r="A607" s="4">
        <v>604</v>
      </c>
      <c r="B607" s="5" t="s">
        <v>1735</v>
      </c>
      <c r="C607" s="6">
        <v>46207</v>
      </c>
      <c r="D607" s="11" t="s">
        <v>26</v>
      </c>
      <c r="E607" s="16" t="s">
        <v>578</v>
      </c>
      <c r="F607" s="16" t="s">
        <v>1788</v>
      </c>
      <c r="G607" s="147">
        <v>7</v>
      </c>
      <c r="H607" s="9" t="s">
        <v>886</v>
      </c>
      <c r="I607" s="10">
        <v>3000000</v>
      </c>
    </row>
    <row r="608" spans="1:9" x14ac:dyDescent="0.25">
      <c r="A608" s="4">
        <v>605</v>
      </c>
      <c r="B608" s="5" t="s">
        <v>1736</v>
      </c>
      <c r="C608" s="6">
        <v>46207</v>
      </c>
      <c r="D608" s="11" t="s">
        <v>21</v>
      </c>
      <c r="E608" s="16" t="s">
        <v>102</v>
      </c>
      <c r="F608" s="16" t="s">
        <v>103</v>
      </c>
      <c r="G608" s="147">
        <v>7</v>
      </c>
      <c r="H608" s="9"/>
      <c r="I608" s="10">
        <v>20000</v>
      </c>
    </row>
    <row r="609" spans="1:14" x14ac:dyDescent="0.25">
      <c r="A609" s="4">
        <v>606</v>
      </c>
      <c r="B609" s="5" t="s">
        <v>1739</v>
      </c>
      <c r="C609" s="6">
        <v>46209</v>
      </c>
      <c r="D609" s="11" t="s">
        <v>9</v>
      </c>
      <c r="E609" s="16" t="s">
        <v>17</v>
      </c>
      <c r="F609" s="16" t="s">
        <v>569</v>
      </c>
      <c r="G609" s="147">
        <v>7</v>
      </c>
      <c r="H609" s="9"/>
      <c r="I609" s="10">
        <v>1250000</v>
      </c>
    </row>
    <row r="610" spans="1:14" x14ac:dyDescent="0.25">
      <c r="A610" s="4">
        <v>607</v>
      </c>
      <c r="B610" s="5" t="s">
        <v>1740</v>
      </c>
      <c r="C610" s="6">
        <v>46209</v>
      </c>
      <c r="D610" s="11" t="s">
        <v>26</v>
      </c>
      <c r="E610" s="16" t="s">
        <v>578</v>
      </c>
      <c r="F610" s="16" t="s">
        <v>1741</v>
      </c>
      <c r="G610" s="147">
        <v>7</v>
      </c>
      <c r="H610" s="9" t="s">
        <v>886</v>
      </c>
      <c r="I610" s="10">
        <v>1250000</v>
      </c>
    </row>
    <row r="611" spans="1:14" ht="15.75" x14ac:dyDescent="0.25">
      <c r="A611" s="4">
        <v>608</v>
      </c>
      <c r="B611" s="5" t="s">
        <v>1742</v>
      </c>
      <c r="C611" s="6">
        <v>46210</v>
      </c>
      <c r="D611" s="11" t="s">
        <v>15</v>
      </c>
      <c r="E611" s="16" t="s">
        <v>331</v>
      </c>
      <c r="F611" s="180" t="s">
        <v>1743</v>
      </c>
      <c r="G611" s="147">
        <v>7</v>
      </c>
      <c r="H611" s="9" t="s">
        <v>886</v>
      </c>
      <c r="I611" s="10">
        <v>6000000</v>
      </c>
    </row>
    <row r="612" spans="1:14" x14ac:dyDescent="0.25">
      <c r="A612" s="4">
        <v>609</v>
      </c>
      <c r="B612" s="5" t="s">
        <v>1744</v>
      </c>
      <c r="C612" s="6">
        <v>46210</v>
      </c>
      <c r="D612" s="11" t="s">
        <v>587</v>
      </c>
      <c r="E612" s="16" t="s">
        <v>1644</v>
      </c>
      <c r="F612" s="16" t="s">
        <v>1747</v>
      </c>
      <c r="G612" s="147">
        <v>7</v>
      </c>
      <c r="H612" s="9"/>
      <c r="I612" s="10">
        <v>650000</v>
      </c>
    </row>
    <row r="613" spans="1:14" x14ac:dyDescent="0.25">
      <c r="A613" s="4">
        <v>610</v>
      </c>
      <c r="B613" s="5" t="s">
        <v>1745</v>
      </c>
      <c r="C613" s="6">
        <v>46210</v>
      </c>
      <c r="D613" s="11" t="s">
        <v>587</v>
      </c>
      <c r="E613" s="16" t="s">
        <v>1253</v>
      </c>
      <c r="F613" s="16" t="s">
        <v>1747</v>
      </c>
      <c r="G613" s="147">
        <v>7</v>
      </c>
      <c r="H613" s="9"/>
      <c r="I613" s="10">
        <v>500000</v>
      </c>
    </row>
    <row r="614" spans="1:14" x14ac:dyDescent="0.25">
      <c r="A614" s="4">
        <v>611</v>
      </c>
      <c r="B614" s="5" t="s">
        <v>1746</v>
      </c>
      <c r="C614" s="6">
        <v>46210</v>
      </c>
      <c r="D614" s="11" t="s">
        <v>587</v>
      </c>
      <c r="E614" s="16" t="s">
        <v>59</v>
      </c>
      <c r="F614" s="16" t="s">
        <v>1747</v>
      </c>
      <c r="G614" s="147">
        <v>7</v>
      </c>
      <c r="H614" s="9"/>
      <c r="I614" s="10">
        <v>650000</v>
      </c>
    </row>
    <row r="615" spans="1:14" x14ac:dyDescent="0.25">
      <c r="A615" s="4">
        <v>612</v>
      </c>
      <c r="B615" s="5" t="s">
        <v>1752</v>
      </c>
      <c r="C615" s="6">
        <v>46212</v>
      </c>
      <c r="D615" s="11" t="s">
        <v>587</v>
      </c>
      <c r="E615" s="16" t="s">
        <v>989</v>
      </c>
      <c r="F615" s="16" t="s">
        <v>1747</v>
      </c>
      <c r="G615" s="147">
        <v>7</v>
      </c>
      <c r="H615" s="9"/>
      <c r="I615" s="10">
        <v>500000</v>
      </c>
    </row>
    <row r="616" spans="1:14" x14ac:dyDescent="0.25">
      <c r="A616" s="4">
        <v>613</v>
      </c>
      <c r="B616" s="5" t="s">
        <v>1753</v>
      </c>
      <c r="C616" s="6">
        <v>46212</v>
      </c>
      <c r="D616" s="11" t="s">
        <v>587</v>
      </c>
      <c r="E616" s="16" t="s">
        <v>1023</v>
      </c>
      <c r="F616" s="16" t="s">
        <v>1747</v>
      </c>
      <c r="G616" s="147">
        <v>7</v>
      </c>
      <c r="H616" s="9"/>
      <c r="I616" s="10">
        <v>500000</v>
      </c>
    </row>
    <row r="617" spans="1:14" x14ac:dyDescent="0.25">
      <c r="A617" s="4">
        <v>614</v>
      </c>
      <c r="B617" s="5" t="s">
        <v>1754</v>
      </c>
      <c r="C617" s="6">
        <v>46212</v>
      </c>
      <c r="D617" s="11" t="s">
        <v>21</v>
      </c>
      <c r="E617" s="16" t="s">
        <v>1748</v>
      </c>
      <c r="F617" s="16" t="s">
        <v>1756</v>
      </c>
      <c r="G617" s="147">
        <v>7</v>
      </c>
      <c r="H617" s="9"/>
      <c r="I617" s="10">
        <v>1000000</v>
      </c>
    </row>
    <row r="618" spans="1:14" x14ac:dyDescent="0.25">
      <c r="A618" s="4">
        <v>615</v>
      </c>
      <c r="B618" s="5" t="s">
        <v>1757</v>
      </c>
      <c r="C618" s="6">
        <v>46212</v>
      </c>
      <c r="D618" s="11" t="s">
        <v>21</v>
      </c>
      <c r="E618" s="16" t="s">
        <v>1023</v>
      </c>
      <c r="F618" s="16" t="s">
        <v>1751</v>
      </c>
      <c r="G618" s="147">
        <v>7</v>
      </c>
      <c r="H618" s="9"/>
      <c r="I618" s="10">
        <v>15000</v>
      </c>
    </row>
    <row r="619" spans="1:14" x14ac:dyDescent="0.25">
      <c r="A619" s="4">
        <v>616</v>
      </c>
      <c r="B619" s="5" t="s">
        <v>1758</v>
      </c>
      <c r="C619" s="6">
        <v>46212</v>
      </c>
      <c r="D619" s="11" t="s">
        <v>21</v>
      </c>
      <c r="E619" s="16" t="s">
        <v>102</v>
      </c>
      <c r="F619" s="16" t="s">
        <v>1755</v>
      </c>
      <c r="G619" s="147">
        <v>7</v>
      </c>
      <c r="H619" s="9"/>
      <c r="I619" s="10">
        <v>20000</v>
      </c>
    </row>
    <row r="620" spans="1:14" x14ac:dyDescent="0.25">
      <c r="A620" s="4">
        <v>617</v>
      </c>
      <c r="B620" s="5" t="s">
        <v>1759</v>
      </c>
      <c r="C620" s="6">
        <v>46212</v>
      </c>
      <c r="D620" s="11" t="s">
        <v>23</v>
      </c>
      <c r="E620" s="16" t="s">
        <v>1749</v>
      </c>
      <c r="F620" s="16" t="s">
        <v>1750</v>
      </c>
      <c r="G620" s="147">
        <v>7</v>
      </c>
      <c r="H620" s="9"/>
      <c r="I620" s="10">
        <v>400000</v>
      </c>
    </row>
    <row r="621" spans="1:14" x14ac:dyDescent="0.25">
      <c r="A621" s="4">
        <v>618</v>
      </c>
      <c r="B621" s="5" t="s">
        <v>1760</v>
      </c>
      <c r="C621" s="6">
        <v>46214</v>
      </c>
      <c r="D621" s="11" t="s">
        <v>587</v>
      </c>
      <c r="E621" s="16" t="s">
        <v>97</v>
      </c>
      <c r="F621" s="16" t="s">
        <v>1747</v>
      </c>
      <c r="G621" s="147">
        <v>7</v>
      </c>
      <c r="H621" s="9"/>
      <c r="I621" s="10">
        <v>1000000</v>
      </c>
    </row>
    <row r="622" spans="1:14" x14ac:dyDescent="0.25">
      <c r="A622" s="4">
        <v>619</v>
      </c>
      <c r="B622" s="5" t="s">
        <v>1761</v>
      </c>
      <c r="C622" s="6">
        <v>46214</v>
      </c>
      <c r="D622" s="11" t="s">
        <v>587</v>
      </c>
      <c r="E622" s="16" t="s">
        <v>1762</v>
      </c>
      <c r="F622" s="16" t="s">
        <v>1747</v>
      </c>
      <c r="G622" s="147">
        <v>7</v>
      </c>
      <c r="H622" s="9"/>
      <c r="I622" s="10">
        <v>500000</v>
      </c>
      <c r="N622" s="220"/>
    </row>
    <row r="623" spans="1:14" x14ac:dyDescent="0.25">
      <c r="A623" s="4">
        <v>620</v>
      </c>
      <c r="B623" s="5" t="s">
        <v>1763</v>
      </c>
      <c r="C623" s="6">
        <v>46214</v>
      </c>
      <c r="D623" s="11" t="s">
        <v>9</v>
      </c>
      <c r="E623" s="16" t="s">
        <v>97</v>
      </c>
      <c r="F623" s="16" t="s">
        <v>1766</v>
      </c>
      <c r="G623" s="147">
        <v>7</v>
      </c>
      <c r="H623" s="9"/>
      <c r="I623" s="10">
        <v>150000</v>
      </c>
    </row>
    <row r="624" spans="1:14" x14ac:dyDescent="0.25">
      <c r="A624" s="4">
        <v>621</v>
      </c>
      <c r="B624" s="5" t="s">
        <v>1764</v>
      </c>
      <c r="C624" s="6">
        <v>46214</v>
      </c>
      <c r="D624" s="11" t="s">
        <v>21</v>
      </c>
      <c r="E624" s="16" t="s">
        <v>1011</v>
      </c>
      <c r="F624" s="16" t="s">
        <v>1767</v>
      </c>
      <c r="G624" s="147">
        <v>7</v>
      </c>
      <c r="H624" s="9"/>
      <c r="I624" s="10">
        <v>125000</v>
      </c>
    </row>
    <row r="625" spans="1:9" x14ac:dyDescent="0.25">
      <c r="A625" s="4">
        <v>622</v>
      </c>
      <c r="B625" s="5" t="s">
        <v>1765</v>
      </c>
      <c r="C625" s="6">
        <v>46214</v>
      </c>
      <c r="D625" s="11" t="s">
        <v>9</v>
      </c>
      <c r="E625" s="16" t="s">
        <v>97</v>
      </c>
      <c r="F625" s="16" t="s">
        <v>9</v>
      </c>
      <c r="G625" s="147">
        <v>7</v>
      </c>
      <c r="H625" s="9"/>
      <c r="I625" s="10">
        <v>632000</v>
      </c>
    </row>
    <row r="626" spans="1:9" ht="15.75" x14ac:dyDescent="0.25">
      <c r="A626" s="4">
        <v>623</v>
      </c>
      <c r="B626" s="5" t="s">
        <v>1768</v>
      </c>
      <c r="C626" s="6">
        <v>46214</v>
      </c>
      <c r="D626" s="11" t="s">
        <v>15</v>
      </c>
      <c r="E626" s="16" t="s">
        <v>393</v>
      </c>
      <c r="F626" s="180" t="s">
        <v>942</v>
      </c>
      <c r="G626" s="147">
        <v>7</v>
      </c>
      <c r="H626" s="9" t="s">
        <v>886</v>
      </c>
      <c r="I626" s="10">
        <v>10000000</v>
      </c>
    </row>
    <row r="627" spans="1:9" x14ac:dyDescent="0.25">
      <c r="A627" s="4">
        <v>624</v>
      </c>
      <c r="B627" s="5" t="s">
        <v>1769</v>
      </c>
      <c r="C627" s="6">
        <v>46215</v>
      </c>
      <c r="D627" s="11" t="s">
        <v>26</v>
      </c>
      <c r="E627" s="16" t="s">
        <v>1749</v>
      </c>
      <c r="F627" s="16" t="s">
        <v>1770</v>
      </c>
      <c r="G627" s="147">
        <v>7</v>
      </c>
      <c r="H627" s="9" t="s">
        <v>886</v>
      </c>
      <c r="I627" s="10">
        <v>100000</v>
      </c>
    </row>
    <row r="628" spans="1:9" ht="15.75" x14ac:dyDescent="0.25">
      <c r="A628" s="4">
        <v>625</v>
      </c>
      <c r="B628" s="5" t="s">
        <v>1771</v>
      </c>
      <c r="C628" s="6">
        <v>46215</v>
      </c>
      <c r="D628" s="11" t="s">
        <v>15</v>
      </c>
      <c r="E628" s="16" t="s">
        <v>1060</v>
      </c>
      <c r="F628" s="180" t="s">
        <v>1772</v>
      </c>
      <c r="G628" s="147">
        <v>7</v>
      </c>
      <c r="H628" s="9" t="s">
        <v>799</v>
      </c>
      <c r="I628" s="10">
        <v>80000000</v>
      </c>
    </row>
    <row r="629" spans="1:9" x14ac:dyDescent="0.25">
      <c r="A629" s="4">
        <v>626</v>
      </c>
      <c r="B629" s="5" t="s">
        <v>1773</v>
      </c>
      <c r="C629" s="6">
        <v>46216</v>
      </c>
      <c r="D629" s="11" t="s">
        <v>587</v>
      </c>
      <c r="E629" s="16" t="s">
        <v>25</v>
      </c>
      <c r="F629" s="16" t="s">
        <v>1747</v>
      </c>
      <c r="G629" s="147">
        <v>7</v>
      </c>
      <c r="H629" s="9"/>
      <c r="I629" s="10">
        <v>450000</v>
      </c>
    </row>
    <row r="630" spans="1:9" x14ac:dyDescent="0.25">
      <c r="A630" s="4">
        <v>627</v>
      </c>
      <c r="B630" s="5" t="s">
        <v>1774</v>
      </c>
      <c r="C630" s="6">
        <v>46216</v>
      </c>
      <c r="D630" s="11" t="s">
        <v>587</v>
      </c>
      <c r="E630" s="16" t="s">
        <v>1378</v>
      </c>
      <c r="F630" s="16" t="s">
        <v>1747</v>
      </c>
      <c r="G630" s="147">
        <v>7</v>
      </c>
      <c r="H630" s="9"/>
      <c r="I630" s="10">
        <v>500000</v>
      </c>
    </row>
    <row r="631" spans="1:9" x14ac:dyDescent="0.25">
      <c r="A631" s="4">
        <v>628</v>
      </c>
      <c r="B631" s="5" t="s">
        <v>1775</v>
      </c>
      <c r="C631" s="6">
        <v>46216</v>
      </c>
      <c r="D631" s="11" t="s">
        <v>9</v>
      </c>
      <c r="E631" s="16" t="s">
        <v>1576</v>
      </c>
      <c r="F631" s="16" t="s">
        <v>1776</v>
      </c>
      <c r="G631" s="147">
        <v>7</v>
      </c>
      <c r="H631" s="9"/>
      <c r="I631" s="10">
        <v>3000000</v>
      </c>
    </row>
    <row r="632" spans="1:9" x14ac:dyDescent="0.25">
      <c r="A632" s="4">
        <v>629</v>
      </c>
      <c r="B632" s="5" t="s">
        <v>1777</v>
      </c>
      <c r="C632" s="6">
        <v>46216</v>
      </c>
      <c r="D632" s="11" t="s">
        <v>587</v>
      </c>
      <c r="E632" s="16" t="s">
        <v>1276</v>
      </c>
      <c r="F632" s="16" t="s">
        <v>1747</v>
      </c>
      <c r="G632" s="147">
        <v>7</v>
      </c>
      <c r="H632" s="9"/>
      <c r="I632" s="10">
        <v>700000</v>
      </c>
    </row>
    <row r="633" spans="1:9" x14ac:dyDescent="0.25">
      <c r="A633" s="4">
        <v>630</v>
      </c>
      <c r="B633" s="5" t="s">
        <v>1778</v>
      </c>
      <c r="C633" s="6">
        <v>46216</v>
      </c>
      <c r="D633" s="11" t="s">
        <v>587</v>
      </c>
      <c r="E633" s="16" t="s">
        <v>1709</v>
      </c>
      <c r="F633" s="16" t="s">
        <v>1747</v>
      </c>
      <c r="G633" s="147">
        <v>7</v>
      </c>
      <c r="H633" s="9"/>
      <c r="I633" s="10">
        <v>350000</v>
      </c>
    </row>
    <row r="634" spans="1:9" x14ac:dyDescent="0.25">
      <c r="A634" s="4">
        <v>631</v>
      </c>
      <c r="B634" s="5" t="s">
        <v>1779</v>
      </c>
      <c r="C634" s="6">
        <v>46216</v>
      </c>
      <c r="D634" s="11" t="s">
        <v>9</v>
      </c>
      <c r="E634" s="16" t="s">
        <v>1576</v>
      </c>
      <c r="F634" s="16" t="s">
        <v>1783</v>
      </c>
      <c r="G634" s="147">
        <v>7</v>
      </c>
      <c r="H634" s="9"/>
      <c r="I634" s="10">
        <v>2455000</v>
      </c>
    </row>
    <row r="635" spans="1:9" ht="15.75" x14ac:dyDescent="0.25">
      <c r="A635" s="4">
        <v>632</v>
      </c>
      <c r="B635" s="5" t="s">
        <v>1781</v>
      </c>
      <c r="C635" s="6">
        <v>46216</v>
      </c>
      <c r="D635" s="11" t="s">
        <v>15</v>
      </c>
      <c r="E635" s="16" t="s">
        <v>522</v>
      </c>
      <c r="F635" s="180" t="s">
        <v>1782</v>
      </c>
      <c r="G635" s="147">
        <v>7</v>
      </c>
      <c r="H635" s="9" t="s">
        <v>886</v>
      </c>
      <c r="I635" s="10">
        <v>7000000</v>
      </c>
    </row>
    <row r="636" spans="1:9" x14ac:dyDescent="0.25">
      <c r="A636" s="4">
        <v>633</v>
      </c>
      <c r="B636" s="5" t="s">
        <v>1784</v>
      </c>
      <c r="C636" s="6">
        <v>46216</v>
      </c>
      <c r="D636" s="11" t="s">
        <v>9</v>
      </c>
      <c r="E636" s="16" t="s">
        <v>1601</v>
      </c>
      <c r="F636" s="114" t="s">
        <v>1786</v>
      </c>
      <c r="G636" s="147">
        <v>7</v>
      </c>
      <c r="H636" s="9"/>
      <c r="I636" s="10">
        <v>420000</v>
      </c>
    </row>
    <row r="637" spans="1:9" x14ac:dyDescent="0.25">
      <c r="A637" s="4">
        <v>634</v>
      </c>
      <c r="B637" s="5" t="s">
        <v>1785</v>
      </c>
      <c r="C637" s="6">
        <v>46216</v>
      </c>
      <c r="D637" s="11" t="s">
        <v>21</v>
      </c>
      <c r="E637" s="16" t="s">
        <v>1709</v>
      </c>
      <c r="F637" s="16" t="s">
        <v>1787</v>
      </c>
      <c r="G637" s="147">
        <v>7</v>
      </c>
      <c r="H637" s="9"/>
      <c r="I637" s="10">
        <v>25000</v>
      </c>
    </row>
    <row r="638" spans="1:9" x14ac:dyDescent="0.25">
      <c r="A638" s="4">
        <v>635</v>
      </c>
      <c r="B638" s="5" t="s">
        <v>1789</v>
      </c>
      <c r="C638" s="6">
        <v>46216</v>
      </c>
      <c r="D638" s="11" t="s">
        <v>587</v>
      </c>
      <c r="E638" s="16" t="s">
        <v>132</v>
      </c>
      <c r="F638" s="16" t="s">
        <v>1747</v>
      </c>
      <c r="G638" s="147">
        <v>7</v>
      </c>
      <c r="H638" s="9"/>
      <c r="I638" s="10">
        <v>2000000</v>
      </c>
    </row>
    <row r="639" spans="1:9" x14ac:dyDescent="0.25">
      <c r="A639" s="4">
        <v>636</v>
      </c>
      <c r="B639" s="5" t="s">
        <v>1790</v>
      </c>
      <c r="C639" s="6">
        <v>46216</v>
      </c>
      <c r="D639" s="11" t="s">
        <v>9</v>
      </c>
      <c r="E639" s="16" t="s">
        <v>132</v>
      </c>
      <c r="F639" s="16" t="s">
        <v>133</v>
      </c>
      <c r="G639" s="147">
        <v>7</v>
      </c>
      <c r="H639" s="9"/>
      <c r="I639" s="10">
        <v>500000</v>
      </c>
    </row>
    <row r="640" spans="1:9" x14ac:dyDescent="0.25">
      <c r="A640" s="4">
        <v>637</v>
      </c>
      <c r="B640" s="5" t="s">
        <v>1791</v>
      </c>
      <c r="C640" s="6">
        <v>46216</v>
      </c>
      <c r="D640" s="11" t="s">
        <v>587</v>
      </c>
      <c r="E640" s="16" t="s">
        <v>92</v>
      </c>
      <c r="F640" s="16" t="s">
        <v>1747</v>
      </c>
      <c r="G640" s="147">
        <v>7</v>
      </c>
      <c r="H640" s="9"/>
      <c r="I640" s="10">
        <v>1500000</v>
      </c>
    </row>
    <row r="641" spans="1:9" x14ac:dyDescent="0.25">
      <c r="A641" s="4">
        <v>638</v>
      </c>
      <c r="B641" s="5" t="s">
        <v>1792</v>
      </c>
      <c r="C641" s="6">
        <v>46216</v>
      </c>
      <c r="D641" s="11" t="s">
        <v>587</v>
      </c>
      <c r="E641" s="16" t="s">
        <v>161</v>
      </c>
      <c r="F641" s="16" t="s">
        <v>1747</v>
      </c>
      <c r="G641" s="147">
        <v>7</v>
      </c>
      <c r="H641" s="9"/>
      <c r="I641" s="10">
        <v>600000</v>
      </c>
    </row>
    <row r="642" spans="1:9" x14ac:dyDescent="0.25">
      <c r="A642" s="4">
        <v>639</v>
      </c>
      <c r="B642" s="5" t="s">
        <v>1793</v>
      </c>
      <c r="C642" s="6">
        <v>46216</v>
      </c>
      <c r="D642" s="11" t="s">
        <v>21</v>
      </c>
      <c r="E642" s="16" t="s">
        <v>1794</v>
      </c>
      <c r="F642" s="16" t="s">
        <v>1795</v>
      </c>
      <c r="G642" s="147">
        <v>7</v>
      </c>
      <c r="H642" s="9"/>
      <c r="I642" s="10">
        <v>2000000</v>
      </c>
    </row>
    <row r="643" spans="1:9" ht="15.75" x14ac:dyDescent="0.25">
      <c r="A643" s="4">
        <v>640</v>
      </c>
      <c r="B643" s="5" t="s">
        <v>1796</v>
      </c>
      <c r="C643" s="6">
        <v>46217</v>
      </c>
      <c r="D643" s="11" t="s">
        <v>15</v>
      </c>
      <c r="E643" s="16" t="s">
        <v>393</v>
      </c>
      <c r="F643" s="180" t="s">
        <v>942</v>
      </c>
      <c r="G643" s="147">
        <v>7</v>
      </c>
      <c r="H643" s="9" t="s">
        <v>886</v>
      </c>
      <c r="I643" s="10">
        <v>9000000</v>
      </c>
    </row>
    <row r="644" spans="1:9" x14ac:dyDescent="0.25">
      <c r="A644" s="4">
        <v>641</v>
      </c>
      <c r="B644" s="5" t="s">
        <v>1797</v>
      </c>
      <c r="C644" s="6">
        <v>46217</v>
      </c>
      <c r="D644" s="11" t="s">
        <v>21</v>
      </c>
      <c r="E644" s="16" t="s">
        <v>102</v>
      </c>
      <c r="F644" s="16" t="s">
        <v>103</v>
      </c>
      <c r="G644" s="147">
        <v>7</v>
      </c>
      <c r="H644" s="9"/>
      <c r="I644" s="10">
        <v>15000</v>
      </c>
    </row>
    <row r="645" spans="1:9" x14ac:dyDescent="0.25">
      <c r="A645" s="4">
        <v>642</v>
      </c>
      <c r="B645" s="5" t="s">
        <v>1798</v>
      </c>
      <c r="C645" s="6">
        <v>46217</v>
      </c>
      <c r="D645" s="11" t="s">
        <v>23</v>
      </c>
      <c r="E645" s="16" t="s">
        <v>1749</v>
      </c>
      <c r="F645" s="16" t="s">
        <v>841</v>
      </c>
      <c r="G645" s="147">
        <v>7</v>
      </c>
      <c r="H645" s="9"/>
      <c r="I645" s="10">
        <v>5000000</v>
      </c>
    </row>
    <row r="646" spans="1:9" x14ac:dyDescent="0.25">
      <c r="A646" s="4">
        <v>643</v>
      </c>
      <c r="B646" s="5" t="s">
        <v>1799</v>
      </c>
      <c r="C646" s="6">
        <v>46217</v>
      </c>
      <c r="D646" s="11" t="s">
        <v>587</v>
      </c>
      <c r="E646" s="16" t="s">
        <v>1656</v>
      </c>
      <c r="F646" s="16" t="s">
        <v>1747</v>
      </c>
      <c r="G646" s="147">
        <v>7</v>
      </c>
      <c r="H646" s="9"/>
      <c r="I646" s="10">
        <v>800000</v>
      </c>
    </row>
    <row r="647" spans="1:9" x14ac:dyDescent="0.25">
      <c r="A647" s="4">
        <v>644</v>
      </c>
      <c r="B647" s="5" t="s">
        <v>1800</v>
      </c>
      <c r="C647" s="6">
        <v>46217</v>
      </c>
      <c r="D647" s="11" t="s">
        <v>9</v>
      </c>
      <c r="E647" s="16" t="s">
        <v>1803</v>
      </c>
      <c r="F647" s="16" t="s">
        <v>1804</v>
      </c>
      <c r="G647" s="147">
        <v>7</v>
      </c>
      <c r="H647" s="9"/>
      <c r="I647" s="10">
        <v>35000</v>
      </c>
    </row>
    <row r="648" spans="1:9" x14ac:dyDescent="0.25">
      <c r="A648" s="4">
        <v>645</v>
      </c>
      <c r="B648" s="5" t="s">
        <v>1801</v>
      </c>
      <c r="C648" s="6">
        <v>46217</v>
      </c>
      <c r="D648" s="11" t="s">
        <v>9</v>
      </c>
      <c r="E648" s="16" t="s">
        <v>1805</v>
      </c>
      <c r="F648" s="16" t="s">
        <v>1806</v>
      </c>
      <c r="G648" s="147">
        <v>7</v>
      </c>
      <c r="H648" s="9"/>
      <c r="I648" s="10">
        <v>1156000</v>
      </c>
    </row>
    <row r="649" spans="1:9" x14ac:dyDescent="0.25">
      <c r="A649" s="4">
        <v>646</v>
      </c>
      <c r="B649" s="5" t="s">
        <v>1802</v>
      </c>
      <c r="C649" s="6">
        <v>46217</v>
      </c>
      <c r="D649" s="11" t="s">
        <v>9</v>
      </c>
      <c r="E649" s="16" t="s">
        <v>1200</v>
      </c>
      <c r="F649" s="16" t="s">
        <v>1807</v>
      </c>
      <c r="G649" s="147">
        <v>7</v>
      </c>
      <c r="H649" s="9"/>
      <c r="I649" s="10">
        <v>3000000</v>
      </c>
    </row>
    <row r="650" spans="1:9" ht="15.75" x14ac:dyDescent="0.25">
      <c r="A650" s="4">
        <v>647</v>
      </c>
      <c r="B650" s="5" t="s">
        <v>1808</v>
      </c>
      <c r="C650" s="6">
        <v>46217</v>
      </c>
      <c r="D650" s="11" t="s">
        <v>15</v>
      </c>
      <c r="E650" s="16" t="s">
        <v>199</v>
      </c>
      <c r="F650" s="180" t="s">
        <v>200</v>
      </c>
      <c r="G650" s="147">
        <v>7</v>
      </c>
      <c r="H650" s="9" t="s">
        <v>886</v>
      </c>
      <c r="I650" s="10">
        <v>7000000</v>
      </c>
    </row>
    <row r="651" spans="1:9" x14ac:dyDescent="0.25">
      <c r="A651" s="4">
        <v>648</v>
      </c>
      <c r="B651" s="5" t="s">
        <v>1809</v>
      </c>
      <c r="C651" s="6">
        <v>46217</v>
      </c>
      <c r="D651" s="11" t="s">
        <v>9</v>
      </c>
      <c r="E651" s="16" t="s">
        <v>10</v>
      </c>
      <c r="F651" s="16" t="s">
        <v>1810</v>
      </c>
      <c r="G651" s="147">
        <v>7</v>
      </c>
      <c r="H651" s="9"/>
      <c r="I651" s="10">
        <v>100000</v>
      </c>
    </row>
    <row r="652" spans="1:9" x14ac:dyDescent="0.25">
      <c r="A652" s="4">
        <v>649</v>
      </c>
      <c r="B652" s="5" t="s">
        <v>1811</v>
      </c>
      <c r="C652" s="6">
        <v>46217</v>
      </c>
      <c r="D652" s="11" t="s">
        <v>23</v>
      </c>
      <c r="E652" s="16" t="s">
        <v>578</v>
      </c>
      <c r="F652" s="16" t="s">
        <v>1812</v>
      </c>
      <c r="G652" s="147">
        <v>7</v>
      </c>
      <c r="H652" s="9"/>
      <c r="I652" s="10">
        <v>22000000</v>
      </c>
    </row>
    <row r="653" spans="1:9" x14ac:dyDescent="0.25">
      <c r="A653" s="4">
        <v>650</v>
      </c>
      <c r="B653" s="5" t="s">
        <v>1813</v>
      </c>
      <c r="C653" s="6">
        <v>46218</v>
      </c>
      <c r="D653" s="11" t="s">
        <v>9</v>
      </c>
      <c r="E653" s="16" t="s">
        <v>86</v>
      </c>
      <c r="F653" s="16" t="s">
        <v>1340</v>
      </c>
      <c r="G653" s="147">
        <v>7</v>
      </c>
      <c r="H653" s="9"/>
      <c r="I653" s="10">
        <v>1900000</v>
      </c>
    </row>
    <row r="654" spans="1:9" x14ac:dyDescent="0.25">
      <c r="A654" s="4">
        <v>651</v>
      </c>
      <c r="B654" s="5" t="s">
        <v>1814</v>
      </c>
      <c r="C654" s="6">
        <v>46221</v>
      </c>
      <c r="D654" s="11" t="s">
        <v>21</v>
      </c>
      <c r="E654" s="16" t="s">
        <v>1135</v>
      </c>
      <c r="F654" s="16" t="s">
        <v>100</v>
      </c>
      <c r="G654" s="147">
        <v>7</v>
      </c>
      <c r="H654" s="9"/>
      <c r="I654" s="10">
        <v>2500000</v>
      </c>
    </row>
    <row r="655" spans="1:9" x14ac:dyDescent="0.25">
      <c r="A655" s="4">
        <v>652</v>
      </c>
      <c r="B655" s="5" t="s">
        <v>1815</v>
      </c>
      <c r="C655" s="6">
        <v>46221</v>
      </c>
      <c r="D655" s="11" t="s">
        <v>9</v>
      </c>
      <c r="E655" s="16" t="s">
        <v>1816</v>
      </c>
      <c r="F655" s="16" t="s">
        <v>1817</v>
      </c>
      <c r="G655" s="147">
        <v>7</v>
      </c>
      <c r="H655" s="9"/>
      <c r="I655" s="10">
        <v>1000000</v>
      </c>
    </row>
    <row r="656" spans="1:9" ht="15.75" x14ac:dyDescent="0.25">
      <c r="A656" s="4">
        <v>653</v>
      </c>
      <c r="B656" s="5" t="s">
        <v>1819</v>
      </c>
      <c r="C656" s="6">
        <v>46222</v>
      </c>
      <c r="D656" s="11" t="s">
        <v>15</v>
      </c>
      <c r="E656" s="16" t="s">
        <v>1820</v>
      </c>
      <c r="F656" s="180" t="s">
        <v>811</v>
      </c>
      <c r="G656" s="147">
        <v>7</v>
      </c>
      <c r="H656" s="9" t="s">
        <v>886</v>
      </c>
      <c r="I656" s="10">
        <v>2000000</v>
      </c>
    </row>
    <row r="657" spans="1:9" x14ac:dyDescent="0.25">
      <c r="A657" s="4">
        <v>654</v>
      </c>
      <c r="B657" s="5" t="s">
        <v>1821</v>
      </c>
      <c r="C657" s="6">
        <v>46223</v>
      </c>
      <c r="D657" s="11" t="s">
        <v>21</v>
      </c>
      <c r="E657" s="16" t="s">
        <v>787</v>
      </c>
      <c r="F657" s="16" t="s">
        <v>1822</v>
      </c>
      <c r="G657" s="147">
        <v>7</v>
      </c>
      <c r="H657" s="9"/>
      <c r="I657" s="10">
        <v>1000000</v>
      </c>
    </row>
    <row r="658" spans="1:9" x14ac:dyDescent="0.25">
      <c r="A658" s="4">
        <v>655</v>
      </c>
      <c r="B658" s="5" t="s">
        <v>1823</v>
      </c>
      <c r="C658" s="6">
        <v>46223</v>
      </c>
      <c r="D658" s="11" t="s">
        <v>21</v>
      </c>
      <c r="E658" s="16" t="s">
        <v>102</v>
      </c>
      <c r="F658" s="16" t="s">
        <v>103</v>
      </c>
      <c r="G658" s="147">
        <v>7</v>
      </c>
      <c r="H658" s="9"/>
      <c r="I658" s="10">
        <v>15000</v>
      </c>
    </row>
    <row r="659" spans="1:9" x14ac:dyDescent="0.25">
      <c r="A659" s="4">
        <v>656</v>
      </c>
      <c r="B659" s="5" t="s">
        <v>1824</v>
      </c>
      <c r="C659" s="6">
        <v>46223</v>
      </c>
      <c r="D659" s="11" t="s">
        <v>9</v>
      </c>
      <c r="E659" s="16" t="s">
        <v>1685</v>
      </c>
      <c r="F659" s="16" t="s">
        <v>1825</v>
      </c>
      <c r="G659" s="147">
        <v>7</v>
      </c>
      <c r="H659" s="9"/>
      <c r="I659" s="10">
        <v>500000</v>
      </c>
    </row>
    <row r="660" spans="1:9" x14ac:dyDescent="0.25">
      <c r="A660" s="4">
        <v>657</v>
      </c>
      <c r="B660" s="5" t="s">
        <v>1828</v>
      </c>
      <c r="C660" s="6">
        <v>46224</v>
      </c>
      <c r="D660" s="11" t="s">
        <v>9</v>
      </c>
      <c r="E660" s="16" t="s">
        <v>97</v>
      </c>
      <c r="F660" s="16" t="s">
        <v>9</v>
      </c>
      <c r="G660" s="147">
        <v>7</v>
      </c>
      <c r="H660" s="9"/>
      <c r="I660" s="10">
        <v>355000</v>
      </c>
    </row>
    <row r="661" spans="1:9" x14ac:dyDescent="0.25">
      <c r="A661" s="4">
        <v>658</v>
      </c>
      <c r="B661" s="5" t="s">
        <v>1829</v>
      </c>
      <c r="C661" s="6">
        <v>46224</v>
      </c>
      <c r="D661" s="11" t="s">
        <v>9</v>
      </c>
      <c r="E661" s="16" t="s">
        <v>1576</v>
      </c>
      <c r="F661" s="16" t="s">
        <v>1830</v>
      </c>
      <c r="G661" s="147">
        <v>7</v>
      </c>
      <c r="H661" s="9"/>
      <c r="I661" s="10">
        <v>1000000</v>
      </c>
    </row>
    <row r="662" spans="1:9" x14ac:dyDescent="0.25">
      <c r="A662" s="4">
        <v>659</v>
      </c>
      <c r="B662" s="5" t="s">
        <v>1831</v>
      </c>
      <c r="C662" s="6">
        <v>46224</v>
      </c>
      <c r="D662" s="11" t="s">
        <v>23</v>
      </c>
      <c r="E662" s="16" t="s">
        <v>1749</v>
      </c>
      <c r="F662" s="16" t="s">
        <v>168</v>
      </c>
      <c r="G662" s="147">
        <v>7</v>
      </c>
      <c r="H662" s="9"/>
      <c r="I662" s="10">
        <v>500000</v>
      </c>
    </row>
    <row r="663" spans="1:9" x14ac:dyDescent="0.25">
      <c r="A663" s="4">
        <v>660</v>
      </c>
      <c r="B663" s="5" t="s">
        <v>1834</v>
      </c>
      <c r="C663" s="6">
        <v>46228</v>
      </c>
      <c r="D663" s="11" t="s">
        <v>9</v>
      </c>
      <c r="E663" s="16" t="s">
        <v>1835</v>
      </c>
      <c r="F663" s="16" t="s">
        <v>1836</v>
      </c>
      <c r="G663" s="147">
        <v>7</v>
      </c>
      <c r="H663" s="9"/>
      <c r="I663" s="10">
        <v>250000</v>
      </c>
    </row>
    <row r="664" spans="1:9" ht="15.75" x14ac:dyDescent="0.25">
      <c r="A664" s="4">
        <v>661</v>
      </c>
      <c r="B664" s="5" t="s">
        <v>1839</v>
      </c>
      <c r="C664" s="6">
        <v>46228</v>
      </c>
      <c r="D664" s="11" t="s">
        <v>15</v>
      </c>
      <c r="E664" s="16" t="s">
        <v>1837</v>
      </c>
      <c r="F664" s="180" t="s">
        <v>755</v>
      </c>
      <c r="G664" s="147">
        <v>7</v>
      </c>
      <c r="H664" s="9"/>
      <c r="I664" s="10">
        <v>135000000</v>
      </c>
    </row>
    <row r="665" spans="1:9" ht="15.75" x14ac:dyDescent="0.25">
      <c r="A665" s="4">
        <v>662</v>
      </c>
      <c r="B665" s="5" t="s">
        <v>1840</v>
      </c>
      <c r="C665" s="6">
        <v>46228</v>
      </c>
      <c r="D665" s="11" t="s">
        <v>15</v>
      </c>
      <c r="E665" s="16" t="s">
        <v>1838</v>
      </c>
      <c r="F665" s="180" t="s">
        <v>1061</v>
      </c>
      <c r="G665" s="147">
        <v>7</v>
      </c>
      <c r="H665" s="9"/>
      <c r="I665" s="10">
        <v>135000000</v>
      </c>
    </row>
    <row r="666" spans="1:9" x14ac:dyDescent="0.25">
      <c r="A666" s="4">
        <v>663</v>
      </c>
      <c r="B666" s="5" t="s">
        <v>1844</v>
      </c>
      <c r="C666" s="6">
        <v>46242</v>
      </c>
      <c r="D666" s="11" t="s">
        <v>9</v>
      </c>
      <c r="E666" s="16" t="s">
        <v>1842</v>
      </c>
      <c r="F666" s="16" t="s">
        <v>1846</v>
      </c>
      <c r="G666" s="147">
        <v>8</v>
      </c>
      <c r="H666" s="9" t="s">
        <v>1843</v>
      </c>
      <c r="I666" s="10">
        <v>760000</v>
      </c>
    </row>
    <row r="667" spans="1:9" x14ac:dyDescent="0.25">
      <c r="A667" s="4">
        <v>664</v>
      </c>
      <c r="B667" s="5" t="s">
        <v>1845</v>
      </c>
      <c r="C667" s="6">
        <v>46242</v>
      </c>
      <c r="D667" s="11" t="s">
        <v>21</v>
      </c>
      <c r="E667" s="16" t="s">
        <v>1400</v>
      </c>
      <c r="F667" s="16" t="s">
        <v>163</v>
      </c>
      <c r="G667" s="147">
        <v>8</v>
      </c>
      <c r="H667" s="9"/>
      <c r="I667" s="10">
        <v>140000</v>
      </c>
    </row>
    <row r="668" spans="1:9" ht="15.75" x14ac:dyDescent="0.25">
      <c r="A668" s="4">
        <v>665</v>
      </c>
      <c r="B668" s="5" t="s">
        <v>1841</v>
      </c>
      <c r="C668" s="6">
        <v>46243</v>
      </c>
      <c r="D668" s="11" t="s">
        <v>15</v>
      </c>
      <c r="E668" s="16" t="s">
        <v>391</v>
      </c>
      <c r="F668" s="180" t="s">
        <v>1189</v>
      </c>
      <c r="G668" s="147">
        <v>8</v>
      </c>
      <c r="H668" s="9"/>
      <c r="I668" s="10">
        <v>6000000</v>
      </c>
    </row>
    <row r="669" spans="1:9" x14ac:dyDescent="0.25">
      <c r="A669" s="4">
        <v>666</v>
      </c>
      <c r="B669" s="5" t="s">
        <v>1850</v>
      </c>
      <c r="C669" s="6">
        <v>46244</v>
      </c>
      <c r="D669" s="11" t="s">
        <v>9</v>
      </c>
      <c r="E669" s="16" t="s">
        <v>17</v>
      </c>
      <c r="F669" s="16" t="s">
        <v>1848</v>
      </c>
      <c r="G669" s="147">
        <v>8</v>
      </c>
      <c r="H669" s="9"/>
      <c r="I669" s="10">
        <v>1800000</v>
      </c>
    </row>
    <row r="670" spans="1:9" x14ac:dyDescent="0.25">
      <c r="A670" s="4">
        <v>667</v>
      </c>
      <c r="B670" s="5" t="s">
        <v>1851</v>
      </c>
      <c r="C670" s="6">
        <v>46244</v>
      </c>
      <c r="D670" s="11" t="s">
        <v>21</v>
      </c>
      <c r="E670" s="16" t="s">
        <v>1847</v>
      </c>
      <c r="F670" s="16" t="s">
        <v>1849</v>
      </c>
      <c r="G670" s="147">
        <v>8</v>
      </c>
      <c r="H670" s="9"/>
      <c r="I670" s="10">
        <v>750000</v>
      </c>
    </row>
    <row r="671" spans="1:9" x14ac:dyDescent="0.25">
      <c r="A671" s="4">
        <v>668</v>
      </c>
      <c r="B671" s="5" t="s">
        <v>1852</v>
      </c>
      <c r="C671" s="6">
        <v>46244</v>
      </c>
      <c r="D671" s="11" t="s">
        <v>9</v>
      </c>
      <c r="E671" s="16" t="s">
        <v>1842</v>
      </c>
      <c r="F671" s="16" t="s">
        <v>1856</v>
      </c>
      <c r="G671" s="147">
        <v>8</v>
      </c>
      <c r="H671" s="9"/>
      <c r="I671" s="10">
        <v>740000</v>
      </c>
    </row>
    <row r="672" spans="1:9" x14ac:dyDescent="0.25">
      <c r="A672" s="4">
        <v>669</v>
      </c>
      <c r="B672" s="5" t="s">
        <v>1853</v>
      </c>
      <c r="C672" s="6">
        <v>46244</v>
      </c>
      <c r="D672" s="11" t="s">
        <v>9</v>
      </c>
      <c r="E672" s="16" t="s">
        <v>1489</v>
      </c>
      <c r="F672" s="16" t="s">
        <v>1857</v>
      </c>
      <c r="G672" s="147">
        <v>8</v>
      </c>
      <c r="H672" s="9" t="s">
        <v>1898</v>
      </c>
      <c r="I672" s="10">
        <v>200000</v>
      </c>
    </row>
    <row r="673" spans="1:9" x14ac:dyDescent="0.25">
      <c r="A673" s="4">
        <v>670</v>
      </c>
      <c r="B673" s="5" t="s">
        <v>1854</v>
      </c>
      <c r="C673" s="6">
        <v>46244</v>
      </c>
      <c r="D673" s="11" t="s">
        <v>9</v>
      </c>
      <c r="E673" s="16" t="s">
        <v>97</v>
      </c>
      <c r="F673" s="16" t="s">
        <v>9</v>
      </c>
      <c r="G673" s="147">
        <v>8</v>
      </c>
      <c r="H673" s="9"/>
      <c r="I673" s="10">
        <v>950000</v>
      </c>
    </row>
    <row r="674" spans="1:9" x14ac:dyDescent="0.25">
      <c r="A674" s="4">
        <v>671</v>
      </c>
      <c r="B674" s="5" t="s">
        <v>1855</v>
      </c>
      <c r="C674" s="6">
        <v>46244</v>
      </c>
      <c r="D674" s="11" t="s">
        <v>21</v>
      </c>
      <c r="E674" s="16" t="s">
        <v>1023</v>
      </c>
      <c r="F674" s="16" t="s">
        <v>1858</v>
      </c>
      <c r="G674" s="147">
        <v>8</v>
      </c>
      <c r="H674" s="9"/>
      <c r="I674" s="10">
        <v>150000</v>
      </c>
    </row>
    <row r="675" spans="1:9" ht="15.75" x14ac:dyDescent="0.25">
      <c r="A675" s="4">
        <v>672</v>
      </c>
      <c r="B675" s="5" t="s">
        <v>1859</v>
      </c>
      <c r="C675" s="6">
        <v>46245</v>
      </c>
      <c r="D675" s="11" t="s">
        <v>15</v>
      </c>
      <c r="E675" s="16" t="s">
        <v>74</v>
      </c>
      <c r="F675" s="180" t="s">
        <v>75</v>
      </c>
      <c r="G675" s="147">
        <v>8</v>
      </c>
      <c r="H675" s="9"/>
      <c r="I675" s="10">
        <v>1900000</v>
      </c>
    </row>
    <row r="676" spans="1:9" ht="15.75" x14ac:dyDescent="0.25">
      <c r="A676" s="4">
        <v>673</v>
      </c>
      <c r="B676" s="5" t="s">
        <v>1864</v>
      </c>
      <c r="C676" s="6">
        <v>46247</v>
      </c>
      <c r="D676" s="11" t="s">
        <v>15</v>
      </c>
      <c r="E676" s="16" t="s">
        <v>77</v>
      </c>
      <c r="F676" s="180" t="s">
        <v>78</v>
      </c>
      <c r="G676" s="147">
        <v>8</v>
      </c>
      <c r="H676" s="9"/>
      <c r="I676" s="10">
        <v>3000000</v>
      </c>
    </row>
    <row r="677" spans="1:9" x14ac:dyDescent="0.25">
      <c r="A677" s="4">
        <v>674</v>
      </c>
      <c r="B677" s="5" t="s">
        <v>1865</v>
      </c>
      <c r="C677" s="6">
        <v>46247</v>
      </c>
      <c r="D677" s="11" t="s">
        <v>21</v>
      </c>
      <c r="E677" s="16" t="s">
        <v>1135</v>
      </c>
      <c r="F677" s="16" t="s">
        <v>100</v>
      </c>
      <c r="G677" s="147">
        <v>8</v>
      </c>
      <c r="H677" s="9"/>
      <c r="I677" s="10">
        <v>2500000</v>
      </c>
    </row>
    <row r="678" spans="1:9" ht="15.75" x14ac:dyDescent="0.25">
      <c r="A678" s="4">
        <v>675</v>
      </c>
      <c r="B678" s="5" t="s">
        <v>1866</v>
      </c>
      <c r="C678" s="6">
        <v>46249</v>
      </c>
      <c r="D678" s="11" t="s">
        <v>9</v>
      </c>
      <c r="E678" s="16" t="s">
        <v>114</v>
      </c>
      <c r="F678" s="180" t="s">
        <v>1867</v>
      </c>
      <c r="G678" s="147">
        <v>8</v>
      </c>
      <c r="H678" s="9"/>
      <c r="I678" s="10">
        <v>900000</v>
      </c>
    </row>
    <row r="679" spans="1:9" x14ac:dyDescent="0.25">
      <c r="A679" s="4">
        <v>676</v>
      </c>
      <c r="B679" s="5" t="s">
        <v>1871</v>
      </c>
      <c r="C679" s="6">
        <v>46249</v>
      </c>
      <c r="D679" s="11" t="s">
        <v>21</v>
      </c>
      <c r="E679" s="16" t="s">
        <v>1762</v>
      </c>
      <c r="F679" s="16" t="s">
        <v>1870</v>
      </c>
      <c r="G679" s="147">
        <v>8</v>
      </c>
      <c r="H679" s="9"/>
      <c r="I679" s="10">
        <v>25000</v>
      </c>
    </row>
    <row r="680" spans="1:9" ht="15.75" x14ac:dyDescent="0.25">
      <c r="A680" s="4">
        <v>677</v>
      </c>
      <c r="B680" s="5" t="s">
        <v>1874</v>
      </c>
      <c r="C680" s="6">
        <v>46249</v>
      </c>
      <c r="D680" s="11" t="s">
        <v>15</v>
      </c>
      <c r="E680" s="16" t="s">
        <v>1872</v>
      </c>
      <c r="F680" s="180" t="s">
        <v>1873</v>
      </c>
      <c r="G680" s="147">
        <v>8</v>
      </c>
      <c r="H680" s="9"/>
      <c r="I680" s="10">
        <v>8000000</v>
      </c>
    </row>
    <row r="681" spans="1:9" ht="15.75" x14ac:dyDescent="0.25">
      <c r="A681" s="4">
        <v>678</v>
      </c>
      <c r="B681" s="5" t="s">
        <v>1875</v>
      </c>
      <c r="C681" s="6">
        <v>46249</v>
      </c>
      <c r="D681" s="11" t="s">
        <v>15</v>
      </c>
      <c r="E681" s="16" t="s">
        <v>400</v>
      </c>
      <c r="F681" s="180" t="s">
        <v>1711</v>
      </c>
      <c r="G681" s="147">
        <v>8</v>
      </c>
      <c r="H681" s="9"/>
      <c r="I681" s="10">
        <v>55000000</v>
      </c>
    </row>
    <row r="682" spans="1:9" x14ac:dyDescent="0.25">
      <c r="A682" s="4">
        <v>679</v>
      </c>
      <c r="B682" s="5" t="s">
        <v>1876</v>
      </c>
      <c r="C682" s="6">
        <v>46249</v>
      </c>
      <c r="D682" s="11" t="s">
        <v>587</v>
      </c>
      <c r="E682" s="16" t="s">
        <v>161</v>
      </c>
      <c r="F682" s="16" t="s">
        <v>1890</v>
      </c>
      <c r="G682" s="147">
        <v>8</v>
      </c>
      <c r="H682" s="9"/>
      <c r="I682" s="10">
        <v>600000</v>
      </c>
    </row>
    <row r="683" spans="1:9" x14ac:dyDescent="0.25">
      <c r="A683" s="4">
        <v>680</v>
      </c>
      <c r="B683" s="5" t="s">
        <v>1877</v>
      </c>
      <c r="C683" s="6">
        <v>46249</v>
      </c>
      <c r="D683" s="11" t="s">
        <v>587</v>
      </c>
      <c r="E683" s="16" t="s">
        <v>92</v>
      </c>
      <c r="F683" s="16" t="s">
        <v>1890</v>
      </c>
      <c r="G683" s="147">
        <v>8</v>
      </c>
      <c r="H683" s="9"/>
      <c r="I683" s="10">
        <v>1500000</v>
      </c>
    </row>
    <row r="684" spans="1:9" x14ac:dyDescent="0.25">
      <c r="A684" s="4">
        <v>681</v>
      </c>
      <c r="B684" s="5" t="s">
        <v>1878</v>
      </c>
      <c r="C684" s="6">
        <v>46249</v>
      </c>
      <c r="D684" s="11" t="s">
        <v>587</v>
      </c>
      <c r="E684" s="16" t="s">
        <v>59</v>
      </c>
      <c r="F684" s="16" t="s">
        <v>1891</v>
      </c>
      <c r="G684" s="147">
        <v>8</v>
      </c>
      <c r="H684" s="9"/>
      <c r="I684" s="10">
        <v>650000</v>
      </c>
    </row>
    <row r="685" spans="1:9" x14ac:dyDescent="0.25">
      <c r="A685" s="4">
        <v>682</v>
      </c>
      <c r="B685" s="5" t="s">
        <v>1879</v>
      </c>
      <c r="C685" s="6">
        <v>46249</v>
      </c>
      <c r="D685" s="11" t="s">
        <v>587</v>
      </c>
      <c r="E685" s="16" t="s">
        <v>102</v>
      </c>
      <c r="F685" s="16" t="s">
        <v>1892</v>
      </c>
      <c r="G685" s="147">
        <v>8</v>
      </c>
      <c r="H685" s="9"/>
      <c r="I685" s="10">
        <v>500000</v>
      </c>
    </row>
    <row r="686" spans="1:9" x14ac:dyDescent="0.25">
      <c r="A686" s="4">
        <v>683</v>
      </c>
      <c r="B686" s="5" t="s">
        <v>1880</v>
      </c>
      <c r="C686" s="6">
        <v>46249</v>
      </c>
      <c r="D686" s="11" t="s">
        <v>587</v>
      </c>
      <c r="E686" s="16" t="s">
        <v>1884</v>
      </c>
      <c r="F686" s="16" t="s">
        <v>1890</v>
      </c>
      <c r="G686" s="147">
        <v>8</v>
      </c>
      <c r="H686" s="9"/>
      <c r="I686" s="10">
        <v>700000</v>
      </c>
    </row>
    <row r="687" spans="1:9" x14ac:dyDescent="0.25">
      <c r="A687" s="4">
        <v>684</v>
      </c>
      <c r="B687" s="5" t="s">
        <v>1881</v>
      </c>
      <c r="C687" s="6">
        <v>46249</v>
      </c>
      <c r="D687" s="11" t="s">
        <v>587</v>
      </c>
      <c r="E687" s="16" t="s">
        <v>1762</v>
      </c>
      <c r="F687" s="16" t="s">
        <v>1890</v>
      </c>
      <c r="G687" s="147">
        <v>8</v>
      </c>
      <c r="H687" s="9"/>
      <c r="I687" s="10">
        <v>500000</v>
      </c>
    </row>
    <row r="688" spans="1:9" x14ac:dyDescent="0.25">
      <c r="A688" s="4">
        <v>685</v>
      </c>
      <c r="B688" s="5" t="s">
        <v>1882</v>
      </c>
      <c r="C688" s="6">
        <v>46249</v>
      </c>
      <c r="D688" s="11" t="s">
        <v>587</v>
      </c>
      <c r="E688" s="16" t="s">
        <v>97</v>
      </c>
      <c r="F688" s="16" t="s">
        <v>1890</v>
      </c>
      <c r="G688" s="147">
        <v>8</v>
      </c>
      <c r="H688" s="9"/>
      <c r="I688" s="10">
        <v>1000000</v>
      </c>
    </row>
    <row r="689" spans="1:16" x14ac:dyDescent="0.25">
      <c r="A689" s="4">
        <v>686</v>
      </c>
      <c r="B689" s="5" t="s">
        <v>1883</v>
      </c>
      <c r="C689" s="6">
        <v>46249</v>
      </c>
      <c r="D689" s="11" t="s">
        <v>587</v>
      </c>
      <c r="E689" s="16" t="s">
        <v>1656</v>
      </c>
      <c r="F689" s="16" t="s">
        <v>1890</v>
      </c>
      <c r="G689" s="147">
        <v>8</v>
      </c>
      <c r="H689" s="9"/>
      <c r="I689" s="10">
        <v>400000</v>
      </c>
    </row>
    <row r="690" spans="1:16" x14ac:dyDescent="0.25">
      <c r="A690" s="4">
        <v>687</v>
      </c>
      <c r="B690" s="5" t="s">
        <v>1885</v>
      </c>
      <c r="C690" s="6">
        <v>46249</v>
      </c>
      <c r="D690" s="11" t="s">
        <v>21</v>
      </c>
      <c r="E690" s="16" t="s">
        <v>97</v>
      </c>
      <c r="F690" s="16" t="s">
        <v>1766</v>
      </c>
      <c r="G690" s="16">
        <v>8</v>
      </c>
      <c r="H690" s="9"/>
      <c r="I690" s="10">
        <v>150000</v>
      </c>
    </row>
    <row r="691" spans="1:16" x14ac:dyDescent="0.25">
      <c r="A691" s="4">
        <v>688</v>
      </c>
      <c r="B691" s="5" t="s">
        <v>1886</v>
      </c>
      <c r="C691" s="6">
        <v>46249</v>
      </c>
      <c r="D691" s="11" t="s">
        <v>9</v>
      </c>
      <c r="E691" s="16" t="s">
        <v>607</v>
      </c>
      <c r="F691" s="16" t="s">
        <v>1887</v>
      </c>
      <c r="G691" s="16">
        <v>8</v>
      </c>
      <c r="H691" s="9"/>
      <c r="I691" s="10">
        <v>5000000</v>
      </c>
    </row>
    <row r="692" spans="1:16" x14ac:dyDescent="0.25">
      <c r="A692" s="4">
        <v>689</v>
      </c>
      <c r="B692" s="5" t="s">
        <v>1888</v>
      </c>
      <c r="C692" s="6">
        <v>46250</v>
      </c>
      <c r="D692" s="11" t="s">
        <v>587</v>
      </c>
      <c r="E692" s="16" t="s">
        <v>1378</v>
      </c>
      <c r="F692" s="16" t="s">
        <v>1890</v>
      </c>
      <c r="G692" s="16">
        <v>8</v>
      </c>
      <c r="H692" s="9"/>
      <c r="I692" s="10">
        <v>500000</v>
      </c>
    </row>
    <row r="693" spans="1:16" x14ac:dyDescent="0.25">
      <c r="A693" s="4">
        <v>690</v>
      </c>
      <c r="B693" s="5" t="s">
        <v>1889</v>
      </c>
      <c r="C693" s="6">
        <v>46250</v>
      </c>
      <c r="D693" s="11" t="s">
        <v>587</v>
      </c>
      <c r="E693" s="16" t="s">
        <v>1709</v>
      </c>
      <c r="F693" s="16" t="s">
        <v>1890</v>
      </c>
      <c r="G693" s="16">
        <v>8</v>
      </c>
      <c r="H693" s="9"/>
      <c r="I693" s="10">
        <v>350000</v>
      </c>
      <c r="K693" s="260">
        <f ca="1">TODAY()</f>
        <v>46253</v>
      </c>
      <c r="L693" s="260"/>
      <c r="M693" s="260"/>
      <c r="N693" s="260"/>
      <c r="O693" s="260"/>
      <c r="P693" s="260"/>
    </row>
    <row r="694" spans="1:16" x14ac:dyDescent="0.25">
      <c r="A694" s="4">
        <v>691</v>
      </c>
      <c r="B694" s="5" t="s">
        <v>1893</v>
      </c>
      <c r="C694" s="6">
        <v>46250</v>
      </c>
      <c r="D694" s="11" t="s">
        <v>9</v>
      </c>
      <c r="E694" s="16" t="s">
        <v>1200</v>
      </c>
      <c r="F694" s="16" t="s">
        <v>1894</v>
      </c>
      <c r="G694" s="16">
        <v>8</v>
      </c>
      <c r="H694" s="9"/>
      <c r="I694" s="10">
        <v>2000000</v>
      </c>
      <c r="K694" s="146" t="s">
        <v>695</v>
      </c>
      <c r="L694" s="145" t="s">
        <v>694</v>
      </c>
      <c r="M694" s="145" t="s">
        <v>716</v>
      </c>
      <c r="N694" s="145" t="s">
        <v>715</v>
      </c>
      <c r="O694" s="144" t="s">
        <v>717</v>
      </c>
      <c r="P694" s="144" t="s">
        <v>694</v>
      </c>
    </row>
    <row r="695" spans="1:16" x14ac:dyDescent="0.25">
      <c r="A695" s="4">
        <v>692</v>
      </c>
      <c r="B695" s="5" t="s">
        <v>1895</v>
      </c>
      <c r="C695" s="6">
        <v>46250</v>
      </c>
      <c r="D695" s="11" t="s">
        <v>9</v>
      </c>
      <c r="E695" s="16" t="s">
        <v>97</v>
      </c>
      <c r="F695" s="16" t="s">
        <v>9</v>
      </c>
      <c r="G695" s="16">
        <v>8</v>
      </c>
      <c r="H695" s="9"/>
      <c r="I695" s="10">
        <v>279000</v>
      </c>
      <c r="K695" s="146">
        <v>1</v>
      </c>
      <c r="L695" s="145">
        <v>884</v>
      </c>
      <c r="M695" s="4">
        <v>716</v>
      </c>
      <c r="N695" s="4">
        <v>716</v>
      </c>
      <c r="O695" s="4">
        <v>704</v>
      </c>
      <c r="P695" s="144">
        <v>884</v>
      </c>
    </row>
    <row r="696" spans="1:16" x14ac:dyDescent="0.25">
      <c r="A696" s="4">
        <v>693</v>
      </c>
      <c r="B696" s="5" t="s">
        <v>1912</v>
      </c>
      <c r="C696" s="6">
        <v>46250</v>
      </c>
      <c r="D696" s="11" t="s">
        <v>9</v>
      </c>
      <c r="E696" s="16" t="s">
        <v>1489</v>
      </c>
      <c r="F696" s="16" t="s">
        <v>1911</v>
      </c>
      <c r="G696" s="16">
        <v>8</v>
      </c>
      <c r="H696" s="9" t="s">
        <v>1935</v>
      </c>
      <c r="I696" s="10">
        <v>140000</v>
      </c>
      <c r="K696" s="146">
        <v>2</v>
      </c>
      <c r="L696" s="145">
        <v>885</v>
      </c>
      <c r="M696" s="4">
        <v>717</v>
      </c>
      <c r="N696" s="4">
        <v>717</v>
      </c>
      <c r="O696" s="4">
        <v>705</v>
      </c>
      <c r="P696" s="144">
        <v>885</v>
      </c>
    </row>
    <row r="697" spans="1:16" x14ac:dyDescent="0.25">
      <c r="A697" s="4">
        <v>694</v>
      </c>
      <c r="B697" s="5" t="s">
        <v>1913</v>
      </c>
      <c r="C697" s="6">
        <v>46250</v>
      </c>
      <c r="D697" s="11" t="s">
        <v>21</v>
      </c>
      <c r="E697" s="16" t="s">
        <v>1011</v>
      </c>
      <c r="F697" s="16" t="s">
        <v>1767</v>
      </c>
      <c r="G697" s="16">
        <v>8</v>
      </c>
      <c r="H697" s="9"/>
      <c r="I697" s="10">
        <v>125000</v>
      </c>
      <c r="K697" s="146">
        <v>3</v>
      </c>
      <c r="L697" s="145"/>
      <c r="M697" s="4"/>
      <c r="N697" s="4"/>
      <c r="O697" s="4"/>
      <c r="P697" s="144"/>
    </row>
    <row r="698" spans="1:16" x14ac:dyDescent="0.25">
      <c r="A698" s="4">
        <v>695</v>
      </c>
      <c r="B698" s="5" t="s">
        <v>1914</v>
      </c>
      <c r="C698" s="6">
        <v>46250</v>
      </c>
      <c r="D698" s="11" t="s">
        <v>23</v>
      </c>
      <c r="E698" s="16" t="s">
        <v>1749</v>
      </c>
      <c r="F698" s="16" t="s">
        <v>168</v>
      </c>
      <c r="G698" s="16">
        <v>8</v>
      </c>
      <c r="H698" s="9"/>
      <c r="I698" s="10">
        <v>8000000</v>
      </c>
      <c r="K698" s="146">
        <v>4</v>
      </c>
      <c r="L698" s="145"/>
      <c r="M698" s="4"/>
      <c r="N698" s="4"/>
      <c r="O698" s="4"/>
      <c r="P698" s="144"/>
    </row>
    <row r="699" spans="1:16" ht="15.75" x14ac:dyDescent="0.25">
      <c r="A699" s="4">
        <v>696</v>
      </c>
      <c r="B699" s="5" t="s">
        <v>1926</v>
      </c>
      <c r="C699" s="6">
        <v>46251</v>
      </c>
      <c r="D699" s="11" t="s">
        <v>15</v>
      </c>
      <c r="E699" s="16" t="s">
        <v>1927</v>
      </c>
      <c r="F699" s="180" t="s">
        <v>1931</v>
      </c>
      <c r="G699" s="16">
        <v>8</v>
      </c>
      <c r="H699" s="9"/>
      <c r="I699" s="10">
        <v>32000000</v>
      </c>
      <c r="K699" s="146">
        <v>5</v>
      </c>
      <c r="L699" s="145"/>
      <c r="M699" s="4"/>
      <c r="N699" s="4"/>
      <c r="O699" s="4"/>
      <c r="P699" s="144"/>
    </row>
    <row r="700" spans="1:16" x14ac:dyDescent="0.25">
      <c r="A700" s="4">
        <v>697</v>
      </c>
      <c r="B700" s="5" t="s">
        <v>1918</v>
      </c>
      <c r="C700" s="6">
        <v>46251</v>
      </c>
      <c r="D700" s="11" t="s">
        <v>1936</v>
      </c>
      <c r="E700" s="16" t="s">
        <v>1275</v>
      </c>
      <c r="F700" s="221" t="s">
        <v>1932</v>
      </c>
      <c r="G700" s="16">
        <v>8</v>
      </c>
      <c r="H700" s="9"/>
      <c r="I700" s="10">
        <v>3000000</v>
      </c>
      <c r="K700" s="146">
        <v>6</v>
      </c>
      <c r="L700" s="145"/>
      <c r="M700" s="4"/>
      <c r="N700" s="4"/>
      <c r="O700" s="4"/>
      <c r="P700" s="144"/>
    </row>
    <row r="701" spans="1:16" x14ac:dyDescent="0.25">
      <c r="A701" s="4">
        <v>698</v>
      </c>
      <c r="B701" s="5" t="s">
        <v>1919</v>
      </c>
      <c r="C701" s="6">
        <v>46251</v>
      </c>
      <c r="D701" s="11" t="s">
        <v>9</v>
      </c>
      <c r="E701" s="16" t="s">
        <v>1930</v>
      </c>
      <c r="F701" s="16" t="s">
        <v>1929</v>
      </c>
      <c r="G701" s="16">
        <v>8</v>
      </c>
      <c r="H701" s="9"/>
      <c r="I701" s="10">
        <v>250000</v>
      </c>
      <c r="K701" s="146">
        <v>7</v>
      </c>
      <c r="L701" s="145"/>
      <c r="M701" s="4"/>
      <c r="N701" s="4"/>
      <c r="O701" s="4"/>
      <c r="P701" s="144"/>
    </row>
    <row r="702" spans="1:16" x14ac:dyDescent="0.25">
      <c r="A702" s="4">
        <v>699</v>
      </c>
      <c r="B702" s="5" t="s">
        <v>1920</v>
      </c>
      <c r="C702" s="6">
        <v>46251</v>
      </c>
      <c r="D702" s="11" t="s">
        <v>9</v>
      </c>
      <c r="E702" s="16" t="s">
        <v>1685</v>
      </c>
      <c r="F702" s="16" t="s">
        <v>1934</v>
      </c>
      <c r="G702" s="16">
        <v>8</v>
      </c>
      <c r="H702" s="9" t="s">
        <v>1933</v>
      </c>
      <c r="I702" s="10">
        <v>850000</v>
      </c>
      <c r="K702" s="146">
        <v>8</v>
      </c>
      <c r="L702" s="145"/>
      <c r="M702" s="4"/>
      <c r="N702" s="4"/>
      <c r="O702" s="4"/>
      <c r="P702" s="144"/>
    </row>
    <row r="703" spans="1:16" x14ac:dyDescent="0.25">
      <c r="A703" s="4">
        <v>700</v>
      </c>
      <c r="B703" s="5" t="s">
        <v>1921</v>
      </c>
      <c r="C703" s="6">
        <v>46251</v>
      </c>
      <c r="D703" s="11" t="s">
        <v>9</v>
      </c>
      <c r="E703" s="16" t="s">
        <v>97</v>
      </c>
      <c r="F703" s="16" t="s">
        <v>1939</v>
      </c>
      <c r="G703" s="16">
        <v>8</v>
      </c>
      <c r="H703" s="9" t="s">
        <v>1940</v>
      </c>
      <c r="I703" s="10">
        <v>500000</v>
      </c>
      <c r="K703" s="146">
        <v>9</v>
      </c>
      <c r="L703" s="145"/>
      <c r="M703" s="4"/>
      <c r="N703" s="4"/>
      <c r="O703" s="4"/>
      <c r="P703" s="144"/>
    </row>
    <row r="704" spans="1:16" x14ac:dyDescent="0.25">
      <c r="A704" s="4">
        <v>701</v>
      </c>
      <c r="B704" s="5" t="s">
        <v>1922</v>
      </c>
      <c r="C704" s="6">
        <v>46251</v>
      </c>
      <c r="D704" s="11" t="s">
        <v>23</v>
      </c>
      <c r="E704" s="16" t="s">
        <v>1937</v>
      </c>
      <c r="F704" s="16" t="s">
        <v>1938</v>
      </c>
      <c r="G704" s="16">
        <v>8</v>
      </c>
      <c r="H704" s="9"/>
      <c r="I704" s="10">
        <v>350000</v>
      </c>
      <c r="K704" s="146">
        <v>10</v>
      </c>
      <c r="L704" s="145"/>
      <c r="M704" s="4"/>
      <c r="N704" s="4"/>
      <c r="O704" s="124"/>
      <c r="P704" s="144"/>
    </row>
    <row r="705" spans="1:16" x14ac:dyDescent="0.25">
      <c r="A705" s="4">
        <v>702</v>
      </c>
      <c r="B705" s="5" t="s">
        <v>1923</v>
      </c>
      <c r="C705" s="6">
        <v>46251</v>
      </c>
      <c r="D705" s="11" t="s">
        <v>23</v>
      </c>
      <c r="E705" s="16" t="s">
        <v>1749</v>
      </c>
      <c r="F705" s="16" t="s">
        <v>168</v>
      </c>
      <c r="G705" s="16">
        <v>8</v>
      </c>
      <c r="H705" s="9"/>
      <c r="I705" s="10">
        <v>22000000</v>
      </c>
      <c r="K705" s="146">
        <v>11</v>
      </c>
      <c r="L705" s="145"/>
      <c r="M705" s="4"/>
      <c r="N705" s="4"/>
      <c r="O705" s="4"/>
      <c r="P705" s="144"/>
    </row>
    <row r="706" spans="1:16" x14ac:dyDescent="0.25">
      <c r="A706" s="4">
        <v>703</v>
      </c>
      <c r="B706" s="5" t="s">
        <v>1924</v>
      </c>
      <c r="C706" s="6">
        <v>46251</v>
      </c>
      <c r="D706" s="11" t="s">
        <v>23</v>
      </c>
      <c r="E706" s="16" t="s">
        <v>1749</v>
      </c>
      <c r="F706" s="16" t="s">
        <v>168</v>
      </c>
      <c r="G706" s="16">
        <v>8</v>
      </c>
      <c r="H706" s="9"/>
      <c r="I706" s="10">
        <v>7500000</v>
      </c>
      <c r="K706" s="146">
        <v>12</v>
      </c>
      <c r="L706" s="145"/>
      <c r="M706" s="4"/>
      <c r="N706" s="4"/>
      <c r="O706" s="4"/>
      <c r="P706" s="144"/>
    </row>
    <row r="707" spans="1:16" ht="15.75" x14ac:dyDescent="0.25">
      <c r="A707" s="4">
        <v>704</v>
      </c>
      <c r="B707" s="5" t="s">
        <v>1941</v>
      </c>
      <c r="C707" s="6">
        <v>46252</v>
      </c>
      <c r="D707" s="11" t="s">
        <v>15</v>
      </c>
      <c r="E707" s="16" t="s">
        <v>754</v>
      </c>
      <c r="F707" s="180" t="s">
        <v>1658</v>
      </c>
      <c r="G707" s="16">
        <v>8</v>
      </c>
      <c r="H707" s="9"/>
      <c r="I707" s="10">
        <v>14000000</v>
      </c>
      <c r="K707" s="146">
        <v>13</v>
      </c>
      <c r="L707" s="145"/>
      <c r="M707" s="4"/>
      <c r="N707" s="4"/>
      <c r="O707" s="4"/>
      <c r="P707" s="144"/>
    </row>
    <row r="708" spans="1:16" x14ac:dyDescent="0.25">
      <c r="A708" s="4">
        <v>705</v>
      </c>
      <c r="B708" s="5" t="s">
        <v>1942</v>
      </c>
      <c r="C708" s="6">
        <v>46252</v>
      </c>
      <c r="D708" s="11" t="s">
        <v>1936</v>
      </c>
      <c r="E708" s="16" t="s">
        <v>1275</v>
      </c>
      <c r="F708" s="114" t="s">
        <v>1943</v>
      </c>
      <c r="G708" s="16">
        <v>8</v>
      </c>
      <c r="H708" s="9"/>
      <c r="I708" s="10">
        <v>1000000</v>
      </c>
      <c r="K708" s="146">
        <v>14</v>
      </c>
      <c r="L708" s="145"/>
      <c r="M708" s="4"/>
      <c r="N708" s="4"/>
      <c r="O708" s="4"/>
      <c r="P708" s="144"/>
    </row>
    <row r="709" spans="1:16" x14ac:dyDescent="0.25">
      <c r="A709" s="4">
        <v>706</v>
      </c>
      <c r="B709" s="5" t="s">
        <v>1947</v>
      </c>
      <c r="C709" s="6">
        <v>46252</v>
      </c>
      <c r="D709" s="11" t="s">
        <v>23</v>
      </c>
      <c r="E709" s="16" t="s">
        <v>1956</v>
      </c>
      <c r="F709" s="16" t="s">
        <v>1957</v>
      </c>
      <c r="G709" s="16">
        <v>8</v>
      </c>
      <c r="H709" s="9"/>
      <c r="I709" s="10">
        <v>350000</v>
      </c>
      <c r="K709" s="146">
        <v>15</v>
      </c>
      <c r="L709" s="145"/>
      <c r="M709" s="4"/>
      <c r="N709" s="4"/>
      <c r="O709" s="4"/>
      <c r="P709" s="144"/>
    </row>
    <row r="710" spans="1:16" x14ac:dyDescent="0.25">
      <c r="A710" s="4">
        <v>707</v>
      </c>
      <c r="B710" s="5" t="s">
        <v>1948</v>
      </c>
      <c r="C710" s="6">
        <v>46252</v>
      </c>
      <c r="D710" s="11" t="s">
        <v>23</v>
      </c>
      <c r="E710" s="16" t="s">
        <v>578</v>
      </c>
      <c r="F710" s="16" t="s">
        <v>1954</v>
      </c>
      <c r="G710" s="16">
        <v>8</v>
      </c>
      <c r="H710" s="9"/>
      <c r="I710" s="10">
        <v>2500000</v>
      </c>
      <c r="K710" s="146">
        <v>16</v>
      </c>
      <c r="L710" s="145"/>
      <c r="M710" s="4"/>
      <c r="N710" s="4"/>
      <c r="O710" s="4"/>
      <c r="P710" s="144"/>
    </row>
    <row r="711" spans="1:16" x14ac:dyDescent="0.25">
      <c r="A711" s="4">
        <v>708</v>
      </c>
      <c r="B711" s="5" t="s">
        <v>1949</v>
      </c>
      <c r="C711" s="6">
        <v>46252</v>
      </c>
      <c r="D711" s="11" t="s">
        <v>21</v>
      </c>
      <c r="E711" s="16" t="s">
        <v>1274</v>
      </c>
      <c r="F711" s="16" t="s">
        <v>1953</v>
      </c>
      <c r="G711" s="16">
        <v>8</v>
      </c>
      <c r="H711" s="9"/>
      <c r="I711" s="10">
        <v>500000</v>
      </c>
      <c r="K711" s="146">
        <v>16</v>
      </c>
      <c r="L711" s="145"/>
      <c r="M711" s="4"/>
      <c r="N711" s="4"/>
      <c r="O711" s="4"/>
      <c r="P711" s="144"/>
    </row>
    <row r="712" spans="1:16" x14ac:dyDescent="0.25">
      <c r="A712" s="4">
        <v>709</v>
      </c>
      <c r="B712" s="5" t="s">
        <v>1950</v>
      </c>
      <c r="C712" s="6">
        <v>46252</v>
      </c>
      <c r="D712" s="11" t="s">
        <v>587</v>
      </c>
      <c r="E712" s="16" t="s">
        <v>1952</v>
      </c>
      <c r="F712" s="16" t="s">
        <v>1892</v>
      </c>
      <c r="G712" s="16">
        <v>8</v>
      </c>
      <c r="H712" s="9"/>
      <c r="I712" s="10">
        <v>2000000</v>
      </c>
      <c r="K712" s="146">
        <v>16</v>
      </c>
      <c r="L712" s="145"/>
      <c r="M712" s="238">
        <f ca="1">TODAY()</f>
        <v>46253</v>
      </c>
      <c r="N712" s="4"/>
      <c r="O712" s="4"/>
      <c r="P712" s="144"/>
    </row>
    <row r="713" spans="1:16" x14ac:dyDescent="0.25">
      <c r="A713" s="4">
        <v>710</v>
      </c>
      <c r="B713" s="5" t="s">
        <v>1951</v>
      </c>
      <c r="C713" s="6">
        <v>46252</v>
      </c>
      <c r="D713" s="11" t="s">
        <v>587</v>
      </c>
      <c r="E713" s="16" t="s">
        <v>1644</v>
      </c>
      <c r="F713" s="16" t="s">
        <v>1892</v>
      </c>
      <c r="G713" s="16">
        <v>8</v>
      </c>
      <c r="H713" s="9"/>
      <c r="I713" s="10">
        <v>650000</v>
      </c>
    </row>
    <row r="714" spans="1:16" ht="15.75" x14ac:dyDescent="0.25">
      <c r="A714" s="4">
        <v>711</v>
      </c>
      <c r="B714" s="5" t="s">
        <v>1946</v>
      </c>
      <c r="C714" s="6">
        <v>46252</v>
      </c>
      <c r="D714" s="11" t="s">
        <v>21</v>
      </c>
      <c r="E714" s="16" t="s">
        <v>1687</v>
      </c>
      <c r="F714" s="13" t="s">
        <v>1955</v>
      </c>
      <c r="G714" s="16">
        <v>8</v>
      </c>
      <c r="H714" s="9"/>
      <c r="I714" s="10">
        <v>200000</v>
      </c>
    </row>
    <row r="715" spans="1:16" x14ac:dyDescent="0.25">
      <c r="A715" s="4">
        <v>712</v>
      </c>
      <c r="B715" s="5" t="s">
        <v>1960</v>
      </c>
      <c r="C715" s="6">
        <v>46252</v>
      </c>
      <c r="D715" s="11" t="s">
        <v>9</v>
      </c>
      <c r="E715" s="16" t="s">
        <v>1961</v>
      </c>
      <c r="F715" s="16" t="s">
        <v>1962</v>
      </c>
      <c r="G715" s="16">
        <v>8</v>
      </c>
      <c r="H715" s="9"/>
      <c r="I715" s="10">
        <v>450000</v>
      </c>
    </row>
    <row r="716" spans="1:16" x14ac:dyDescent="0.25">
      <c r="A716" s="4">
        <v>713</v>
      </c>
      <c r="B716" s="5" t="s">
        <v>1963</v>
      </c>
      <c r="C716" s="6">
        <v>46252</v>
      </c>
      <c r="D716" s="11" t="s">
        <v>23</v>
      </c>
      <c r="E716" s="16" t="s">
        <v>1749</v>
      </c>
      <c r="F716" s="16" t="s">
        <v>1966</v>
      </c>
      <c r="G716" s="16">
        <v>8</v>
      </c>
      <c r="H716" s="9"/>
      <c r="I716" s="10">
        <v>10000000</v>
      </c>
    </row>
    <row r="717" spans="1:16" x14ac:dyDescent="0.25">
      <c r="A717" s="4">
        <v>714</v>
      </c>
      <c r="B717" s="5" t="s">
        <v>1964</v>
      </c>
      <c r="C717" s="6">
        <v>46252</v>
      </c>
      <c r="D717" s="11" t="s">
        <v>23</v>
      </c>
      <c r="E717" s="16" t="s">
        <v>578</v>
      </c>
      <c r="F717" s="16" t="s">
        <v>1967</v>
      </c>
      <c r="G717" s="16">
        <v>8</v>
      </c>
      <c r="H717" s="9"/>
      <c r="I717" s="10">
        <v>30000000</v>
      </c>
    </row>
    <row r="718" spans="1:16" x14ac:dyDescent="0.25">
      <c r="A718" s="4">
        <v>715</v>
      </c>
      <c r="B718" s="5" t="s">
        <v>1965</v>
      </c>
      <c r="C718" s="6">
        <v>46252</v>
      </c>
      <c r="D718" s="11" t="s">
        <v>23</v>
      </c>
      <c r="E718" s="16" t="s">
        <v>1749</v>
      </c>
      <c r="F718" s="16" t="s">
        <v>1968</v>
      </c>
      <c r="G718" s="16">
        <v>8</v>
      </c>
      <c r="H718" s="9"/>
      <c r="I718" s="10">
        <v>8000000</v>
      </c>
    </row>
    <row r="719" spans="1:16" x14ac:dyDescent="0.25">
      <c r="A719" s="4">
        <v>716</v>
      </c>
      <c r="B719" s="5" t="s">
        <v>1971</v>
      </c>
      <c r="C719" s="6">
        <v>46253</v>
      </c>
      <c r="D719" s="11" t="s">
        <v>26</v>
      </c>
      <c r="E719" s="16" t="s">
        <v>323</v>
      </c>
      <c r="F719" s="16" t="s">
        <v>1973</v>
      </c>
      <c r="G719" s="16"/>
      <c r="H719" s="9"/>
      <c r="I719" s="10">
        <v>7000000</v>
      </c>
    </row>
    <row r="720" spans="1:16" ht="15.75" x14ac:dyDescent="0.25">
      <c r="A720" s="4">
        <v>717</v>
      </c>
      <c r="B720" s="5" t="s">
        <v>1972</v>
      </c>
      <c r="C720" s="6">
        <v>46253</v>
      </c>
      <c r="D720" s="11" t="s">
        <v>23</v>
      </c>
      <c r="E720" s="16" t="s">
        <v>1749</v>
      </c>
      <c r="F720" s="13" t="s">
        <v>168</v>
      </c>
      <c r="G720" s="16"/>
      <c r="H720" s="9"/>
      <c r="I720" s="10">
        <v>7000000</v>
      </c>
    </row>
    <row r="721" spans="1:9" x14ac:dyDescent="0.25">
      <c r="A721" s="4">
        <v>718</v>
      </c>
      <c r="B721" s="5"/>
      <c r="C721" s="6"/>
      <c r="D721" s="11"/>
      <c r="E721" s="16"/>
      <c r="F721" s="16"/>
      <c r="G721" s="16"/>
      <c r="H721" s="9"/>
      <c r="I721" s="10"/>
    </row>
    <row r="722" spans="1:9" x14ac:dyDescent="0.25">
      <c r="A722" s="4">
        <v>719</v>
      </c>
      <c r="B722" s="5"/>
      <c r="C722" s="6"/>
      <c r="D722" s="11"/>
      <c r="E722" s="16"/>
      <c r="F722" s="16"/>
      <c r="G722" s="16"/>
      <c r="H722" s="9"/>
      <c r="I722" s="10"/>
    </row>
    <row r="723" spans="1:9" x14ac:dyDescent="0.25">
      <c r="A723" s="4">
        <v>720</v>
      </c>
      <c r="B723" s="5"/>
      <c r="C723" s="6"/>
      <c r="D723" s="11"/>
      <c r="E723" s="16"/>
      <c r="F723" s="16"/>
      <c r="G723" s="16"/>
      <c r="H723" s="9"/>
      <c r="I723" s="10"/>
    </row>
    <row r="724" spans="1:9" x14ac:dyDescent="0.25">
      <c r="A724" s="4">
        <v>721</v>
      </c>
      <c r="B724" s="5"/>
      <c r="C724" s="6"/>
      <c r="D724" s="11"/>
      <c r="E724" s="16"/>
      <c r="F724" s="16"/>
      <c r="G724" s="16"/>
      <c r="H724" s="9"/>
      <c r="I724" s="10"/>
    </row>
    <row r="725" spans="1:9" x14ac:dyDescent="0.25">
      <c r="A725" s="4">
        <v>722</v>
      </c>
      <c r="B725" s="5"/>
      <c r="C725" s="6"/>
      <c r="D725" s="11"/>
      <c r="E725" s="16"/>
      <c r="F725" s="16"/>
      <c r="G725" s="16"/>
      <c r="H725" s="9"/>
      <c r="I725" s="10"/>
    </row>
    <row r="726" spans="1:9" x14ac:dyDescent="0.25">
      <c r="A726" s="4">
        <v>723</v>
      </c>
      <c r="B726" s="5"/>
      <c r="C726" s="6"/>
      <c r="D726" s="11"/>
      <c r="E726" s="16"/>
      <c r="F726" s="16"/>
      <c r="G726" s="16"/>
      <c r="H726" s="9"/>
      <c r="I726" s="10"/>
    </row>
    <row r="727" spans="1:9" x14ac:dyDescent="0.25">
      <c r="A727" s="4">
        <v>724</v>
      </c>
      <c r="B727" s="5"/>
      <c r="C727" s="6"/>
      <c r="D727" s="11"/>
      <c r="E727" s="16"/>
      <c r="F727" s="16"/>
      <c r="G727" s="16"/>
      <c r="H727" s="9"/>
      <c r="I727" s="10"/>
    </row>
    <row r="728" spans="1:9" x14ac:dyDescent="0.25">
      <c r="A728" s="4">
        <v>725</v>
      </c>
      <c r="B728" s="5"/>
      <c r="C728" s="6"/>
      <c r="D728" s="11"/>
      <c r="E728" s="16"/>
      <c r="F728" s="16"/>
      <c r="G728" s="16"/>
      <c r="H728" s="9"/>
      <c r="I728" s="10"/>
    </row>
    <row r="729" spans="1:9" x14ac:dyDescent="0.25">
      <c r="A729" s="4">
        <v>726</v>
      </c>
      <c r="B729" s="5"/>
      <c r="C729" s="6"/>
      <c r="D729" s="11"/>
      <c r="E729" s="16"/>
      <c r="F729" s="16"/>
      <c r="G729" s="16"/>
      <c r="H729" s="9"/>
      <c r="I729" s="10"/>
    </row>
    <row r="730" spans="1:9" x14ac:dyDescent="0.25">
      <c r="A730" s="4">
        <v>727</v>
      </c>
      <c r="B730" s="5"/>
      <c r="C730" s="6"/>
      <c r="D730" s="11"/>
      <c r="E730" s="16"/>
      <c r="F730" s="16"/>
      <c r="G730" s="16"/>
      <c r="H730" s="9"/>
      <c r="I730" s="10"/>
    </row>
    <row r="731" spans="1:9" x14ac:dyDescent="0.25">
      <c r="A731" s="4">
        <v>728</v>
      </c>
      <c r="B731" s="5"/>
      <c r="C731" s="6"/>
      <c r="D731" s="11"/>
      <c r="E731" s="16"/>
      <c r="F731" s="16"/>
      <c r="G731" s="16"/>
      <c r="H731" s="9"/>
      <c r="I731" s="10"/>
    </row>
    <row r="732" spans="1:9" x14ac:dyDescent="0.25">
      <c r="A732" s="4">
        <v>729</v>
      </c>
      <c r="B732" s="5"/>
      <c r="C732" s="6"/>
      <c r="D732" s="11"/>
      <c r="E732" s="16"/>
      <c r="F732" s="16"/>
      <c r="G732" s="16"/>
      <c r="H732" s="9"/>
      <c r="I732" s="10"/>
    </row>
    <row r="733" spans="1:9" x14ac:dyDescent="0.25">
      <c r="A733" s="4">
        <v>730</v>
      </c>
      <c r="B733" s="5"/>
      <c r="C733" s="6"/>
      <c r="D733" s="11"/>
      <c r="E733" s="16"/>
      <c r="F733" s="16"/>
      <c r="G733" s="16"/>
      <c r="H733" s="9"/>
      <c r="I733" s="10"/>
    </row>
    <row r="734" spans="1:9" x14ac:dyDescent="0.25">
      <c r="A734" s="4">
        <v>731</v>
      </c>
      <c r="B734" s="5"/>
      <c r="C734" s="6"/>
      <c r="D734" s="11"/>
      <c r="E734" s="16"/>
      <c r="F734" s="16"/>
      <c r="G734" s="16"/>
      <c r="H734" s="9"/>
      <c r="I734" s="10"/>
    </row>
    <row r="735" spans="1:9" x14ac:dyDescent="0.25">
      <c r="A735" s="4">
        <v>732</v>
      </c>
      <c r="B735" s="5"/>
      <c r="C735" s="6"/>
      <c r="D735" s="11"/>
      <c r="E735" s="16"/>
      <c r="F735" s="16"/>
      <c r="G735" s="16"/>
      <c r="H735" s="9"/>
      <c r="I735" s="10"/>
    </row>
    <row r="736" spans="1:9" x14ac:dyDescent="0.25">
      <c r="A736" s="4">
        <v>733</v>
      </c>
      <c r="B736" s="5"/>
      <c r="C736" s="6"/>
      <c r="D736" s="11"/>
      <c r="E736" s="16"/>
      <c r="F736" s="16"/>
      <c r="G736" s="16"/>
      <c r="H736" s="9"/>
      <c r="I736" s="10"/>
    </row>
    <row r="737" spans="1:9" x14ac:dyDescent="0.25">
      <c r="A737" s="4">
        <v>734</v>
      </c>
      <c r="B737" s="5"/>
      <c r="C737" s="6"/>
      <c r="D737" s="11"/>
      <c r="E737" s="16"/>
      <c r="F737" s="16"/>
      <c r="G737" s="16"/>
      <c r="H737" s="9"/>
      <c r="I737" s="10"/>
    </row>
    <row r="738" spans="1:9" x14ac:dyDescent="0.25">
      <c r="A738" s="4">
        <v>735</v>
      </c>
      <c r="B738" s="5"/>
      <c r="C738" s="6"/>
      <c r="D738" s="11"/>
      <c r="E738" s="16"/>
      <c r="F738" s="16"/>
      <c r="G738" s="16"/>
      <c r="H738" s="9"/>
      <c r="I738" s="10"/>
    </row>
    <row r="739" spans="1:9" x14ac:dyDescent="0.25">
      <c r="A739" s="4">
        <v>736</v>
      </c>
      <c r="B739" s="5"/>
      <c r="C739" s="6"/>
      <c r="D739" s="11"/>
      <c r="E739" s="16"/>
      <c r="F739" s="16"/>
      <c r="G739" s="16"/>
      <c r="H739" s="9"/>
      <c r="I739" s="10"/>
    </row>
    <row r="740" spans="1:9" x14ac:dyDescent="0.25">
      <c r="A740" s="4">
        <v>737</v>
      </c>
      <c r="B740" s="5"/>
      <c r="C740" s="6"/>
      <c r="D740" s="11"/>
      <c r="E740" s="16"/>
      <c r="F740" s="16"/>
      <c r="G740" s="16"/>
      <c r="H740" s="9"/>
      <c r="I740" s="10"/>
    </row>
    <row r="741" spans="1:9" x14ac:dyDescent="0.25">
      <c r="A741" s="4">
        <v>738</v>
      </c>
      <c r="B741" s="5"/>
      <c r="C741" s="6"/>
      <c r="D741" s="11"/>
      <c r="E741" s="16"/>
      <c r="F741" s="16"/>
      <c r="G741" s="16"/>
      <c r="H741" s="9"/>
      <c r="I741" s="10"/>
    </row>
    <row r="742" spans="1:9" x14ac:dyDescent="0.25">
      <c r="A742" s="4">
        <v>739</v>
      </c>
      <c r="B742" s="5"/>
      <c r="C742" s="6"/>
      <c r="D742" s="11"/>
      <c r="E742" s="16"/>
      <c r="F742" s="16"/>
      <c r="G742" s="16"/>
      <c r="H742" s="9"/>
      <c r="I742" s="10"/>
    </row>
    <row r="743" spans="1:9" x14ac:dyDescent="0.25">
      <c r="A743" s="4">
        <v>740</v>
      </c>
      <c r="B743" s="5"/>
      <c r="C743" s="6"/>
      <c r="D743" s="11"/>
      <c r="E743" s="16"/>
      <c r="F743" s="16"/>
      <c r="G743" s="16"/>
      <c r="H743" s="9"/>
      <c r="I743" s="10"/>
    </row>
    <row r="744" spans="1:9" x14ac:dyDescent="0.25">
      <c r="A744" s="4">
        <v>741</v>
      </c>
      <c r="B744" s="5"/>
      <c r="C744" s="6"/>
      <c r="D744" s="11"/>
      <c r="E744" s="16"/>
      <c r="F744" s="16"/>
      <c r="G744" s="16"/>
      <c r="H744" s="9"/>
      <c r="I744" s="10"/>
    </row>
    <row r="745" spans="1:9" x14ac:dyDescent="0.25">
      <c r="A745" s="4">
        <v>742</v>
      </c>
      <c r="B745" s="5"/>
      <c r="C745" s="6"/>
      <c r="D745" s="11"/>
      <c r="E745" s="16"/>
      <c r="F745" s="16"/>
      <c r="G745" s="16"/>
      <c r="H745" s="9"/>
      <c r="I745" s="10"/>
    </row>
    <row r="746" spans="1:9" x14ac:dyDescent="0.25">
      <c r="A746" s="4">
        <v>743</v>
      </c>
      <c r="B746" s="5"/>
      <c r="C746" s="6"/>
      <c r="D746" s="11"/>
      <c r="E746" s="16"/>
      <c r="F746" s="16"/>
      <c r="G746" s="16"/>
      <c r="H746" s="9"/>
      <c r="I746" s="10"/>
    </row>
    <row r="747" spans="1:9" x14ac:dyDescent="0.25">
      <c r="A747" s="4">
        <v>744</v>
      </c>
      <c r="B747" s="5"/>
      <c r="C747" s="6"/>
      <c r="D747" s="11"/>
      <c r="E747" s="16"/>
      <c r="F747" s="16"/>
      <c r="G747" s="16"/>
      <c r="H747" s="9"/>
      <c r="I747" s="10"/>
    </row>
    <row r="748" spans="1:9" x14ac:dyDescent="0.25">
      <c r="A748" s="4">
        <v>745</v>
      </c>
      <c r="B748" s="5"/>
      <c r="C748" s="6"/>
      <c r="D748" s="11"/>
      <c r="E748" s="16"/>
      <c r="F748" s="16"/>
      <c r="G748" s="16"/>
      <c r="H748" s="9"/>
      <c r="I748" s="10"/>
    </row>
    <row r="749" spans="1:9" x14ac:dyDescent="0.25">
      <c r="A749" s="4">
        <v>746</v>
      </c>
      <c r="B749" s="5"/>
      <c r="C749" s="6"/>
      <c r="D749" s="11"/>
      <c r="E749" s="16"/>
      <c r="F749" s="16"/>
      <c r="G749" s="16"/>
      <c r="H749" s="9"/>
      <c r="I749" s="10"/>
    </row>
    <row r="750" spans="1:9" x14ac:dyDescent="0.25">
      <c r="A750" s="4">
        <v>747</v>
      </c>
      <c r="B750" s="5"/>
      <c r="C750" s="6"/>
      <c r="D750" s="11"/>
      <c r="E750" s="16"/>
      <c r="F750" s="16"/>
      <c r="G750" s="16"/>
      <c r="H750" s="9"/>
      <c r="I750" s="10"/>
    </row>
    <row r="751" spans="1:9" x14ac:dyDescent="0.25">
      <c r="A751" s="4">
        <v>748</v>
      </c>
      <c r="B751" s="5"/>
      <c r="C751" s="6"/>
      <c r="D751" s="11"/>
      <c r="E751" s="16"/>
      <c r="F751" s="16"/>
      <c r="G751" s="16"/>
      <c r="H751" s="9"/>
      <c r="I751" s="10"/>
    </row>
    <row r="752" spans="1:9" x14ac:dyDescent="0.25">
      <c r="A752" s="4">
        <v>749</v>
      </c>
      <c r="B752" s="5"/>
      <c r="C752" s="6"/>
      <c r="D752" s="11"/>
      <c r="E752" s="16"/>
      <c r="F752" s="16"/>
      <c r="G752" s="16"/>
      <c r="H752" s="9"/>
      <c r="I752" s="10"/>
    </row>
    <row r="753" spans="1:9" x14ac:dyDescent="0.25">
      <c r="A753" s="4">
        <v>750</v>
      </c>
      <c r="B753" s="5"/>
      <c r="C753" s="6"/>
      <c r="D753" s="11"/>
      <c r="E753" s="16"/>
      <c r="F753" s="16"/>
      <c r="G753" s="16"/>
      <c r="H753" s="9"/>
      <c r="I753" s="10"/>
    </row>
    <row r="754" spans="1:9" x14ac:dyDescent="0.25">
      <c r="A754" s="4">
        <v>751</v>
      </c>
      <c r="B754" s="5"/>
      <c r="C754" s="6"/>
      <c r="D754" s="11"/>
      <c r="E754" s="16"/>
      <c r="F754" s="16"/>
      <c r="G754" s="16"/>
      <c r="H754" s="9"/>
      <c r="I754" s="10"/>
    </row>
    <row r="755" spans="1:9" x14ac:dyDescent="0.25">
      <c r="A755" s="4">
        <v>752</v>
      </c>
      <c r="B755" s="5"/>
      <c r="C755" s="6"/>
      <c r="D755" s="11"/>
      <c r="E755" s="16"/>
      <c r="F755" s="16"/>
      <c r="G755" s="16"/>
      <c r="H755" s="9"/>
      <c r="I755" s="10"/>
    </row>
    <row r="756" spans="1:9" x14ac:dyDescent="0.25">
      <c r="A756" s="4">
        <v>753</v>
      </c>
      <c r="B756" s="5"/>
      <c r="C756" s="6"/>
      <c r="D756" s="11"/>
      <c r="E756" s="16"/>
      <c r="F756" s="16"/>
      <c r="G756" s="16"/>
      <c r="H756" s="9"/>
      <c r="I756" s="10"/>
    </row>
    <row r="757" spans="1:9" x14ac:dyDescent="0.25">
      <c r="A757" s="4">
        <v>754</v>
      </c>
      <c r="B757" s="5"/>
      <c r="C757" s="6"/>
      <c r="D757" s="11"/>
      <c r="E757" s="16"/>
      <c r="F757" s="16"/>
      <c r="G757" s="16"/>
      <c r="H757" s="9"/>
      <c r="I757" s="10"/>
    </row>
    <row r="758" spans="1:9" x14ac:dyDescent="0.25">
      <c r="A758" s="4">
        <v>755</v>
      </c>
      <c r="B758" s="5"/>
      <c r="C758" s="6"/>
      <c r="D758" s="11"/>
      <c r="E758" s="16"/>
      <c r="F758" s="16"/>
      <c r="G758" s="16"/>
      <c r="H758" s="9"/>
      <c r="I758" s="10"/>
    </row>
    <row r="759" spans="1:9" x14ac:dyDescent="0.25">
      <c r="A759" s="4">
        <v>756</v>
      </c>
      <c r="B759" s="5"/>
      <c r="C759" s="6"/>
      <c r="D759" s="11"/>
      <c r="E759" s="16"/>
      <c r="F759" s="16"/>
      <c r="G759" s="16"/>
      <c r="H759" s="9"/>
      <c r="I759" s="10"/>
    </row>
    <row r="760" spans="1:9" x14ac:dyDescent="0.25">
      <c r="A760" s="4">
        <v>757</v>
      </c>
      <c r="B760" s="5"/>
      <c r="C760" s="6"/>
      <c r="D760" s="11"/>
      <c r="E760" s="16"/>
      <c r="F760" s="16"/>
      <c r="G760" s="16"/>
      <c r="H760" s="9"/>
      <c r="I760" s="10"/>
    </row>
    <row r="761" spans="1:9" x14ac:dyDescent="0.25">
      <c r="A761" s="4">
        <v>758</v>
      </c>
      <c r="B761" s="5"/>
      <c r="C761" s="6"/>
      <c r="D761" s="11"/>
      <c r="E761" s="16"/>
      <c r="F761" s="16"/>
      <c r="G761" s="16"/>
      <c r="H761" s="9"/>
      <c r="I761" s="10"/>
    </row>
    <row r="762" spans="1:9" x14ac:dyDescent="0.25">
      <c r="A762" s="4">
        <v>759</v>
      </c>
      <c r="B762" s="5"/>
      <c r="C762" s="6"/>
      <c r="D762" s="11"/>
      <c r="E762" s="16"/>
      <c r="F762" s="16"/>
      <c r="G762" s="16"/>
      <c r="H762" s="9"/>
      <c r="I762" s="10"/>
    </row>
    <row r="763" spans="1:9" x14ac:dyDescent="0.25">
      <c r="A763" s="4">
        <v>760</v>
      </c>
      <c r="B763" s="5"/>
      <c r="C763" s="6"/>
      <c r="D763" s="11"/>
      <c r="E763" s="16"/>
      <c r="F763" s="16"/>
      <c r="G763" s="16"/>
      <c r="H763" s="9"/>
      <c r="I763" s="10"/>
    </row>
    <row r="764" spans="1:9" x14ac:dyDescent="0.25">
      <c r="A764" s="4">
        <v>761</v>
      </c>
      <c r="B764" s="5"/>
      <c r="C764" s="6"/>
      <c r="D764" s="11"/>
      <c r="E764" s="16"/>
      <c r="F764" s="16"/>
      <c r="G764" s="16"/>
      <c r="H764" s="9"/>
      <c r="I764" s="10"/>
    </row>
    <row r="765" spans="1:9" x14ac:dyDescent="0.25">
      <c r="A765" s="4">
        <v>762</v>
      </c>
      <c r="B765" s="5"/>
      <c r="C765" s="6"/>
      <c r="D765" s="11"/>
      <c r="E765" s="16"/>
      <c r="F765" s="16"/>
      <c r="G765" s="16"/>
      <c r="H765" s="9"/>
      <c r="I765" s="10"/>
    </row>
    <row r="766" spans="1:9" x14ac:dyDescent="0.25">
      <c r="A766" s="4">
        <v>763</v>
      </c>
      <c r="B766" s="5"/>
      <c r="C766" s="6"/>
      <c r="D766" s="11"/>
      <c r="E766" s="16"/>
      <c r="F766" s="16"/>
      <c r="G766" s="16"/>
      <c r="H766" s="9"/>
      <c r="I766" s="10"/>
    </row>
    <row r="767" spans="1:9" x14ac:dyDescent="0.25">
      <c r="A767" s="4">
        <v>764</v>
      </c>
      <c r="B767" s="5"/>
      <c r="C767" s="6"/>
      <c r="D767" s="11"/>
      <c r="E767" s="16"/>
      <c r="F767" s="16"/>
      <c r="G767" s="16"/>
      <c r="H767" s="9"/>
      <c r="I767" s="10"/>
    </row>
    <row r="768" spans="1:9" x14ac:dyDescent="0.25">
      <c r="A768" s="4">
        <v>765</v>
      </c>
      <c r="B768" s="5"/>
      <c r="C768" s="6"/>
      <c r="D768" s="11"/>
      <c r="E768" s="16"/>
      <c r="F768" s="16"/>
      <c r="G768" s="16"/>
      <c r="H768" s="9"/>
      <c r="I768" s="10"/>
    </row>
    <row r="769" spans="1:9" x14ac:dyDescent="0.25">
      <c r="A769" s="4">
        <v>766</v>
      </c>
      <c r="B769" s="5"/>
      <c r="C769" s="6"/>
      <c r="D769" s="11"/>
      <c r="E769" s="16"/>
      <c r="F769" s="16"/>
      <c r="G769" s="16"/>
      <c r="H769" s="9"/>
      <c r="I769" s="10"/>
    </row>
    <row r="770" spans="1:9" x14ac:dyDescent="0.25">
      <c r="A770" s="4">
        <v>767</v>
      </c>
      <c r="B770" s="5"/>
      <c r="C770" s="6"/>
      <c r="D770" s="11"/>
      <c r="E770" s="16"/>
      <c r="F770" s="16"/>
      <c r="G770" s="16"/>
      <c r="H770" s="9"/>
      <c r="I770" s="10"/>
    </row>
    <row r="771" spans="1:9" x14ac:dyDescent="0.25">
      <c r="A771" s="4">
        <v>768</v>
      </c>
      <c r="B771" s="5"/>
      <c r="C771" s="6"/>
      <c r="D771" s="11"/>
      <c r="E771" s="16"/>
      <c r="F771" s="16"/>
      <c r="G771" s="16"/>
      <c r="H771" s="9"/>
      <c r="I771" s="10"/>
    </row>
    <row r="772" spans="1:9" x14ac:dyDescent="0.25">
      <c r="A772" s="4">
        <v>769</v>
      </c>
      <c r="B772" s="5"/>
      <c r="C772" s="6"/>
      <c r="D772" s="11"/>
      <c r="E772" s="16"/>
      <c r="F772" s="16"/>
      <c r="G772" s="16"/>
      <c r="H772" s="9"/>
      <c r="I772" s="10"/>
    </row>
    <row r="773" spans="1:9" x14ac:dyDescent="0.25">
      <c r="A773" s="4">
        <v>770</v>
      </c>
      <c r="B773" s="5"/>
      <c r="C773" s="6"/>
      <c r="D773" s="11"/>
      <c r="E773" s="16"/>
      <c r="F773" s="16"/>
      <c r="G773" s="16"/>
      <c r="H773" s="9"/>
      <c r="I773" s="10"/>
    </row>
    <row r="774" spans="1:9" x14ac:dyDescent="0.25">
      <c r="A774" s="4">
        <v>771</v>
      </c>
      <c r="B774" s="5"/>
      <c r="C774" s="6"/>
      <c r="D774" s="11"/>
      <c r="E774" s="16"/>
      <c r="F774" s="16"/>
      <c r="G774" s="16"/>
      <c r="H774" s="9"/>
      <c r="I774" s="10"/>
    </row>
    <row r="775" spans="1:9" x14ac:dyDescent="0.25">
      <c r="A775" s="4">
        <v>772</v>
      </c>
      <c r="B775" s="5"/>
      <c r="C775" s="6"/>
      <c r="D775" s="11"/>
      <c r="E775" s="16"/>
      <c r="F775" s="16"/>
      <c r="G775" s="16"/>
      <c r="H775" s="9"/>
      <c r="I775" s="10"/>
    </row>
    <row r="776" spans="1:9" x14ac:dyDescent="0.25">
      <c r="A776" s="4">
        <v>773</v>
      </c>
      <c r="B776" s="5"/>
      <c r="C776" s="6"/>
      <c r="D776" s="11"/>
      <c r="E776" s="16"/>
      <c r="F776" s="16"/>
      <c r="G776" s="16"/>
      <c r="H776" s="9"/>
      <c r="I776" s="10"/>
    </row>
    <row r="777" spans="1:9" x14ac:dyDescent="0.25">
      <c r="A777" s="4">
        <v>774</v>
      </c>
      <c r="B777" s="5"/>
      <c r="C777" s="6"/>
      <c r="D777" s="11"/>
      <c r="E777" s="16"/>
      <c r="F777" s="16"/>
      <c r="G777" s="16"/>
      <c r="H777" s="9"/>
      <c r="I777" s="10"/>
    </row>
    <row r="778" spans="1:9" x14ac:dyDescent="0.25">
      <c r="A778" s="4">
        <v>775</v>
      </c>
      <c r="B778" s="5"/>
      <c r="C778" s="6"/>
      <c r="D778" s="11"/>
      <c r="E778" s="16"/>
      <c r="F778" s="16"/>
      <c r="G778" s="16"/>
      <c r="H778" s="9"/>
      <c r="I778" s="10"/>
    </row>
    <row r="779" spans="1:9" x14ac:dyDescent="0.25">
      <c r="A779" s="4">
        <v>776</v>
      </c>
      <c r="B779" s="5"/>
      <c r="C779" s="6"/>
      <c r="D779" s="11"/>
      <c r="E779" s="16"/>
      <c r="F779" s="16"/>
      <c r="G779" s="16"/>
      <c r="H779" s="9"/>
      <c r="I779" s="10"/>
    </row>
    <row r="780" spans="1:9" x14ac:dyDescent="0.25">
      <c r="A780" s="4">
        <v>777</v>
      </c>
      <c r="B780" s="5"/>
      <c r="C780" s="6"/>
      <c r="D780" s="11"/>
      <c r="E780" s="16"/>
      <c r="F780" s="16"/>
      <c r="G780" s="16"/>
      <c r="H780" s="9"/>
      <c r="I780" s="10"/>
    </row>
    <row r="781" spans="1:9" x14ac:dyDescent="0.25">
      <c r="A781" s="4">
        <v>778</v>
      </c>
      <c r="B781" s="5"/>
      <c r="C781" s="6"/>
      <c r="D781" s="11"/>
      <c r="E781" s="16"/>
      <c r="F781" s="16"/>
      <c r="G781" s="16"/>
      <c r="H781" s="9"/>
      <c r="I781" s="10"/>
    </row>
    <row r="782" spans="1:9" x14ac:dyDescent="0.25">
      <c r="A782" s="4">
        <v>779</v>
      </c>
      <c r="B782" s="5"/>
      <c r="C782" s="6"/>
      <c r="D782" s="11"/>
      <c r="E782" s="16"/>
      <c r="F782" s="16"/>
      <c r="G782" s="16"/>
      <c r="H782" s="9"/>
      <c r="I782" s="10"/>
    </row>
    <row r="783" spans="1:9" x14ac:dyDescent="0.25">
      <c r="A783" s="4">
        <v>780</v>
      </c>
      <c r="B783" s="5"/>
      <c r="C783" s="6"/>
      <c r="D783" s="11"/>
      <c r="E783" s="16"/>
      <c r="F783" s="16"/>
      <c r="G783" s="16"/>
      <c r="H783" s="9"/>
      <c r="I783" s="10"/>
    </row>
    <row r="784" spans="1:9" x14ac:dyDescent="0.25">
      <c r="A784" s="4">
        <v>781</v>
      </c>
      <c r="B784" s="5"/>
      <c r="C784" s="6"/>
      <c r="D784" s="11"/>
      <c r="E784" s="16"/>
      <c r="F784" s="16"/>
      <c r="G784" s="16"/>
      <c r="H784" s="9"/>
      <c r="I784" s="10"/>
    </row>
    <row r="785" spans="1:9" x14ac:dyDescent="0.25">
      <c r="A785" s="4">
        <v>782</v>
      </c>
      <c r="B785" s="5"/>
      <c r="C785" s="6"/>
      <c r="D785" s="11"/>
      <c r="E785" s="16"/>
      <c r="F785" s="16"/>
      <c r="G785" s="16"/>
      <c r="H785" s="9"/>
      <c r="I785" s="10"/>
    </row>
    <row r="786" spans="1:9" x14ac:dyDescent="0.25">
      <c r="A786" s="4">
        <v>783</v>
      </c>
      <c r="B786" s="5"/>
      <c r="C786" s="6"/>
      <c r="D786" s="11"/>
      <c r="E786" s="16"/>
      <c r="F786" s="16"/>
      <c r="G786" s="16"/>
      <c r="H786" s="9"/>
      <c r="I786" s="10"/>
    </row>
    <row r="787" spans="1:9" x14ac:dyDescent="0.25">
      <c r="A787" s="4">
        <v>784</v>
      </c>
      <c r="B787" s="5"/>
      <c r="C787" s="6"/>
      <c r="D787" s="11"/>
      <c r="E787" s="16"/>
      <c r="F787" s="16"/>
      <c r="G787" s="16"/>
      <c r="H787" s="9"/>
      <c r="I787" s="10"/>
    </row>
    <row r="788" spans="1:9" x14ac:dyDescent="0.25">
      <c r="A788" s="4">
        <v>785</v>
      </c>
      <c r="B788" s="5"/>
      <c r="C788" s="6"/>
      <c r="D788" s="11"/>
      <c r="E788" s="16"/>
      <c r="F788" s="16"/>
      <c r="G788" s="16"/>
      <c r="H788" s="9"/>
      <c r="I788" s="10"/>
    </row>
    <row r="789" spans="1:9" x14ac:dyDescent="0.25">
      <c r="A789" s="4">
        <v>786</v>
      </c>
      <c r="B789" s="5"/>
      <c r="C789" s="6"/>
      <c r="D789" s="11"/>
      <c r="E789" s="16"/>
      <c r="F789" s="16"/>
      <c r="G789" s="16"/>
      <c r="H789" s="9"/>
      <c r="I789" s="10"/>
    </row>
    <row r="790" spans="1:9" x14ac:dyDescent="0.25">
      <c r="A790" s="4">
        <v>787</v>
      </c>
      <c r="B790" s="5"/>
      <c r="C790" s="6"/>
      <c r="D790" s="11"/>
      <c r="E790" s="16"/>
      <c r="F790" s="16"/>
      <c r="G790" s="16"/>
      <c r="H790" s="9"/>
      <c r="I790" s="10"/>
    </row>
    <row r="791" spans="1:9" x14ac:dyDescent="0.25">
      <c r="A791" s="4">
        <v>788</v>
      </c>
      <c r="B791" s="5"/>
      <c r="C791" s="6"/>
      <c r="D791" s="11"/>
      <c r="E791" s="16"/>
      <c r="F791" s="16"/>
      <c r="G791" s="16"/>
      <c r="H791" s="9"/>
      <c r="I791" s="10"/>
    </row>
    <row r="792" spans="1:9" x14ac:dyDescent="0.25">
      <c r="A792" s="4">
        <v>789</v>
      </c>
      <c r="B792" s="5"/>
      <c r="C792" s="6"/>
      <c r="D792" s="11"/>
      <c r="E792" s="16"/>
      <c r="F792" s="16"/>
      <c r="G792" s="16"/>
      <c r="H792" s="9"/>
      <c r="I792" s="10"/>
    </row>
    <row r="793" spans="1:9" x14ac:dyDescent="0.25">
      <c r="A793" s="4">
        <v>790</v>
      </c>
      <c r="B793" s="5"/>
      <c r="C793" s="6"/>
      <c r="D793" s="11"/>
      <c r="E793" s="16"/>
      <c r="F793" s="16"/>
      <c r="G793" s="16"/>
      <c r="H793" s="9"/>
      <c r="I793" s="10"/>
    </row>
    <row r="794" spans="1:9" x14ac:dyDescent="0.25">
      <c r="A794" s="4">
        <v>791</v>
      </c>
      <c r="B794" s="5"/>
      <c r="C794" s="6"/>
      <c r="D794" s="11"/>
      <c r="E794" s="16"/>
      <c r="F794" s="16"/>
      <c r="G794" s="16"/>
      <c r="H794" s="9"/>
      <c r="I794" s="10"/>
    </row>
    <row r="795" spans="1:9" x14ac:dyDescent="0.25">
      <c r="A795" s="4">
        <v>792</v>
      </c>
      <c r="B795" s="5"/>
      <c r="C795" s="6"/>
      <c r="D795" s="11"/>
      <c r="E795" s="16"/>
      <c r="F795" s="16"/>
      <c r="G795" s="16"/>
      <c r="H795" s="9"/>
      <c r="I795" s="10"/>
    </row>
    <row r="796" spans="1:9" x14ac:dyDescent="0.25">
      <c r="A796" s="4">
        <v>793</v>
      </c>
      <c r="B796" s="5"/>
      <c r="C796" s="6"/>
      <c r="D796" s="11"/>
      <c r="E796" s="16"/>
      <c r="F796" s="16"/>
      <c r="G796" s="16"/>
      <c r="H796" s="9"/>
      <c r="I796" s="10"/>
    </row>
    <row r="797" spans="1:9" x14ac:dyDescent="0.25">
      <c r="A797" s="4">
        <v>794</v>
      </c>
      <c r="B797" s="5"/>
      <c r="C797" s="6"/>
      <c r="D797" s="11"/>
      <c r="E797" s="16"/>
      <c r="F797" s="16"/>
      <c r="G797" s="16"/>
      <c r="H797" s="9"/>
      <c r="I797" s="10"/>
    </row>
    <row r="798" spans="1:9" x14ac:dyDescent="0.25">
      <c r="A798" s="4">
        <v>795</v>
      </c>
      <c r="B798" s="5"/>
      <c r="C798" s="6"/>
      <c r="D798" s="11"/>
      <c r="E798" s="16"/>
      <c r="F798" s="16"/>
      <c r="G798" s="16"/>
      <c r="H798" s="9"/>
      <c r="I798" s="10"/>
    </row>
    <row r="799" spans="1:9" x14ac:dyDescent="0.25">
      <c r="A799" s="4">
        <v>796</v>
      </c>
      <c r="B799" s="5"/>
      <c r="C799" s="6"/>
      <c r="D799" s="11"/>
      <c r="E799" s="16"/>
      <c r="F799" s="16"/>
      <c r="G799" s="16"/>
      <c r="H799" s="9"/>
      <c r="I799" s="10"/>
    </row>
    <row r="800" spans="1:9" x14ac:dyDescent="0.25">
      <c r="A800" s="4">
        <v>797</v>
      </c>
      <c r="B800" s="5"/>
      <c r="C800" s="6"/>
      <c r="D800" s="11"/>
      <c r="E800" s="16"/>
      <c r="F800" s="16"/>
      <c r="G800" s="16"/>
      <c r="H800" s="9"/>
      <c r="I800" s="10"/>
    </row>
    <row r="801" spans="1:9" x14ac:dyDescent="0.25">
      <c r="A801" s="4">
        <v>798</v>
      </c>
      <c r="B801" s="5"/>
      <c r="C801" s="6"/>
      <c r="D801" s="11"/>
      <c r="E801" s="16"/>
      <c r="F801" s="16"/>
      <c r="G801" s="16"/>
      <c r="H801" s="9"/>
      <c r="I801" s="10"/>
    </row>
    <row r="802" spans="1:9" x14ac:dyDescent="0.25">
      <c r="A802" s="4">
        <v>799</v>
      </c>
      <c r="B802" s="5"/>
      <c r="C802" s="6"/>
      <c r="D802" s="11"/>
      <c r="E802" s="16"/>
      <c r="F802" s="16"/>
      <c r="G802" s="16"/>
      <c r="H802" s="9"/>
      <c r="I802" s="10"/>
    </row>
    <row r="803" spans="1:9" x14ac:dyDescent="0.25">
      <c r="A803" s="4">
        <v>800</v>
      </c>
      <c r="B803" s="5"/>
      <c r="C803" s="6"/>
      <c r="D803" s="11"/>
      <c r="E803" s="16"/>
      <c r="F803" s="16"/>
      <c r="G803" s="16"/>
      <c r="H803" s="9"/>
      <c r="I803" s="10"/>
    </row>
    <row r="804" spans="1:9" x14ac:dyDescent="0.25">
      <c r="A804" s="4">
        <v>801</v>
      </c>
      <c r="B804" s="5"/>
      <c r="C804" s="6"/>
      <c r="D804" s="11"/>
      <c r="E804" s="16"/>
      <c r="F804" s="16"/>
      <c r="G804" s="16"/>
      <c r="H804" s="9"/>
      <c r="I804" s="10"/>
    </row>
    <row r="805" spans="1:9" x14ac:dyDescent="0.25">
      <c r="A805" s="4">
        <v>802</v>
      </c>
      <c r="B805" s="5"/>
      <c r="C805" s="6"/>
      <c r="D805" s="11"/>
      <c r="E805" s="16"/>
      <c r="F805" s="16"/>
      <c r="G805" s="16"/>
      <c r="H805" s="9"/>
      <c r="I805" s="10"/>
    </row>
    <row r="806" spans="1:9" x14ac:dyDescent="0.25">
      <c r="A806" s="4">
        <v>803</v>
      </c>
      <c r="B806" s="5"/>
      <c r="C806" s="6"/>
      <c r="D806" s="11"/>
      <c r="E806" s="16"/>
      <c r="F806" s="16"/>
      <c r="G806" s="16"/>
      <c r="H806" s="9"/>
      <c r="I806" s="10"/>
    </row>
    <row r="807" spans="1:9" x14ac:dyDescent="0.25">
      <c r="A807" s="4">
        <v>804</v>
      </c>
      <c r="B807" s="5"/>
      <c r="C807" s="6"/>
      <c r="D807" s="11"/>
      <c r="E807" s="16"/>
      <c r="F807" s="16"/>
      <c r="G807" s="16"/>
      <c r="H807" s="9"/>
      <c r="I807" s="10"/>
    </row>
    <row r="808" spans="1:9" x14ac:dyDescent="0.25">
      <c r="A808" s="4">
        <v>805</v>
      </c>
      <c r="B808" s="5"/>
      <c r="C808" s="6"/>
      <c r="D808" s="11"/>
      <c r="E808" s="16"/>
      <c r="F808" s="16"/>
      <c r="G808" s="16"/>
      <c r="H808" s="9"/>
      <c r="I808" s="10"/>
    </row>
    <row r="809" spans="1:9" x14ac:dyDescent="0.25">
      <c r="A809" s="4">
        <v>806</v>
      </c>
      <c r="B809" s="5"/>
      <c r="C809" s="6"/>
      <c r="D809" s="11"/>
      <c r="E809" s="16"/>
      <c r="F809" s="16"/>
      <c r="G809" s="16"/>
      <c r="H809" s="9"/>
      <c r="I809" s="10"/>
    </row>
    <row r="810" spans="1:9" x14ac:dyDescent="0.25">
      <c r="A810" s="4">
        <v>807</v>
      </c>
      <c r="B810" s="5"/>
      <c r="C810" s="6"/>
      <c r="D810" s="11"/>
      <c r="E810" s="16"/>
      <c r="F810" s="16"/>
      <c r="G810" s="16"/>
      <c r="H810" s="9"/>
      <c r="I810" s="10"/>
    </row>
    <row r="811" spans="1:9" x14ac:dyDescent="0.25">
      <c r="A811" s="4">
        <v>808</v>
      </c>
      <c r="B811" s="5"/>
      <c r="C811" s="6"/>
      <c r="D811" s="11"/>
      <c r="E811" s="16"/>
      <c r="F811" s="16"/>
      <c r="G811" s="16"/>
      <c r="H811" s="9"/>
      <c r="I811" s="10"/>
    </row>
    <row r="812" spans="1:9" x14ac:dyDescent="0.25">
      <c r="A812" s="4">
        <v>809</v>
      </c>
      <c r="B812" s="5"/>
      <c r="C812" s="6"/>
      <c r="D812" s="11"/>
      <c r="E812" s="16"/>
      <c r="F812" s="16"/>
      <c r="G812" s="16"/>
      <c r="H812" s="9"/>
      <c r="I812" s="10"/>
    </row>
    <row r="813" spans="1:9" x14ac:dyDescent="0.25">
      <c r="A813" s="4">
        <v>810</v>
      </c>
      <c r="B813" s="5"/>
      <c r="C813" s="6"/>
      <c r="D813" s="11"/>
      <c r="E813" s="16"/>
      <c r="F813" s="16"/>
      <c r="G813" s="16"/>
      <c r="H813" s="9"/>
      <c r="I813" s="10"/>
    </row>
    <row r="814" spans="1:9" x14ac:dyDescent="0.25">
      <c r="A814" s="4">
        <v>811</v>
      </c>
      <c r="B814" s="5"/>
      <c r="C814" s="6"/>
      <c r="D814" s="11"/>
      <c r="E814" s="16"/>
      <c r="F814" s="16"/>
      <c r="G814" s="16"/>
      <c r="H814" s="9"/>
      <c r="I814" s="10"/>
    </row>
    <row r="815" spans="1:9" x14ac:dyDescent="0.25">
      <c r="A815" s="4">
        <v>812</v>
      </c>
      <c r="B815" s="5"/>
      <c r="C815" s="6"/>
      <c r="D815" s="11"/>
      <c r="E815" s="16"/>
      <c r="F815" s="16"/>
      <c r="G815" s="16"/>
      <c r="H815" s="9"/>
      <c r="I815" s="10"/>
    </row>
    <row r="816" spans="1:9" x14ac:dyDescent="0.25">
      <c r="A816" s="4">
        <v>813</v>
      </c>
      <c r="B816" s="5"/>
      <c r="C816" s="6"/>
      <c r="D816" s="11"/>
      <c r="E816" s="16"/>
      <c r="F816" s="16"/>
      <c r="G816" s="16"/>
      <c r="H816" s="9"/>
      <c r="I816" s="10"/>
    </row>
    <row r="817" spans="1:9" x14ac:dyDescent="0.25">
      <c r="A817" s="4">
        <v>814</v>
      </c>
      <c r="B817" s="5"/>
      <c r="C817" s="6"/>
      <c r="D817" s="11"/>
      <c r="E817" s="16"/>
      <c r="F817" s="16"/>
      <c r="G817" s="16"/>
      <c r="H817" s="9"/>
      <c r="I817" s="10"/>
    </row>
    <row r="818" spans="1:9" x14ac:dyDescent="0.25">
      <c r="A818" s="4">
        <v>815</v>
      </c>
      <c r="B818" s="5"/>
      <c r="C818" s="6"/>
      <c r="D818" s="11"/>
      <c r="E818" s="16"/>
      <c r="F818" s="16"/>
      <c r="G818" s="16"/>
      <c r="H818" s="9"/>
      <c r="I818" s="10"/>
    </row>
    <row r="819" spans="1:9" x14ac:dyDescent="0.25">
      <c r="A819" s="4">
        <v>816</v>
      </c>
      <c r="B819" s="5"/>
      <c r="C819" s="6"/>
      <c r="D819" s="11"/>
      <c r="E819" s="16"/>
      <c r="F819" s="16"/>
      <c r="G819" s="16"/>
      <c r="H819" s="9"/>
      <c r="I819" s="10"/>
    </row>
    <row r="820" spans="1:9" x14ac:dyDescent="0.25">
      <c r="A820" s="4">
        <v>817</v>
      </c>
      <c r="B820" s="5"/>
      <c r="C820" s="6"/>
      <c r="D820" s="11"/>
      <c r="E820" s="16"/>
      <c r="F820" s="16"/>
      <c r="G820" s="16"/>
      <c r="H820" s="9"/>
      <c r="I820" s="10"/>
    </row>
    <row r="821" spans="1:9" x14ac:dyDescent="0.25">
      <c r="A821" s="4">
        <v>818</v>
      </c>
      <c r="B821" s="5"/>
      <c r="C821" s="6"/>
      <c r="D821" s="11"/>
      <c r="E821" s="16"/>
      <c r="F821" s="16"/>
      <c r="G821" s="16"/>
      <c r="H821" s="9"/>
      <c r="I821" s="10"/>
    </row>
    <row r="822" spans="1:9" x14ac:dyDescent="0.25">
      <c r="A822" s="4">
        <v>819</v>
      </c>
      <c r="B822" s="5"/>
      <c r="C822" s="6"/>
      <c r="D822" s="11"/>
      <c r="E822" s="16"/>
      <c r="F822" s="16"/>
      <c r="G822" s="16"/>
      <c r="H822" s="9"/>
      <c r="I822" s="10"/>
    </row>
    <row r="823" spans="1:9" x14ac:dyDescent="0.25">
      <c r="A823" s="4">
        <v>820</v>
      </c>
      <c r="B823" s="5"/>
      <c r="C823" s="6"/>
      <c r="D823" s="11"/>
      <c r="E823" s="16"/>
      <c r="F823" s="16"/>
      <c r="G823" s="16"/>
      <c r="H823" s="9"/>
      <c r="I823" s="10"/>
    </row>
    <row r="824" spans="1:9" x14ac:dyDescent="0.25">
      <c r="A824" s="4">
        <v>821</v>
      </c>
      <c r="B824" s="5"/>
      <c r="C824" s="6"/>
      <c r="D824" s="11"/>
      <c r="E824" s="16"/>
      <c r="F824" s="16"/>
      <c r="G824" s="16"/>
      <c r="H824" s="9"/>
      <c r="I824" s="10"/>
    </row>
    <row r="825" spans="1:9" x14ac:dyDescent="0.25">
      <c r="A825" s="4">
        <v>822</v>
      </c>
      <c r="B825" s="5"/>
      <c r="C825" s="6"/>
      <c r="D825" s="11"/>
      <c r="E825" s="16"/>
      <c r="F825" s="16"/>
      <c r="G825" s="16"/>
      <c r="H825" s="9"/>
      <c r="I825" s="10"/>
    </row>
    <row r="826" spans="1:9" x14ac:dyDescent="0.25">
      <c r="A826" s="4">
        <v>823</v>
      </c>
      <c r="B826" s="5"/>
      <c r="C826" s="6"/>
      <c r="D826" s="11"/>
      <c r="E826" s="16"/>
      <c r="F826" s="16"/>
      <c r="G826" s="16"/>
      <c r="H826" s="9"/>
      <c r="I826" s="10"/>
    </row>
    <row r="827" spans="1:9" x14ac:dyDescent="0.25">
      <c r="A827" s="4">
        <v>824</v>
      </c>
      <c r="B827" s="5"/>
      <c r="C827" s="6"/>
      <c r="D827" s="11"/>
      <c r="E827" s="16"/>
      <c r="F827" s="16"/>
      <c r="G827" s="16"/>
      <c r="H827" s="9"/>
      <c r="I827" s="10"/>
    </row>
    <row r="828" spans="1:9" x14ac:dyDescent="0.25">
      <c r="A828" s="4">
        <v>825</v>
      </c>
      <c r="B828" s="5"/>
      <c r="C828" s="6"/>
      <c r="D828" s="11"/>
      <c r="E828" s="16"/>
      <c r="F828" s="16"/>
      <c r="G828" s="16"/>
      <c r="H828" s="9"/>
      <c r="I828" s="10"/>
    </row>
    <row r="829" spans="1:9" x14ac:dyDescent="0.25">
      <c r="A829" s="4">
        <v>826</v>
      </c>
      <c r="B829" s="5"/>
      <c r="C829" s="6"/>
      <c r="D829" s="11"/>
      <c r="E829" s="16"/>
      <c r="F829" s="16"/>
      <c r="G829" s="16"/>
      <c r="H829" s="9"/>
      <c r="I829" s="10"/>
    </row>
    <row r="830" spans="1:9" x14ac:dyDescent="0.25">
      <c r="A830" s="4">
        <v>827</v>
      </c>
      <c r="B830" s="5"/>
      <c r="C830" s="6"/>
      <c r="D830" s="11"/>
      <c r="E830" s="16"/>
      <c r="F830" s="16"/>
      <c r="G830" s="16"/>
      <c r="H830" s="9"/>
      <c r="I830" s="10"/>
    </row>
    <row r="831" spans="1:9" x14ac:dyDescent="0.25">
      <c r="A831" s="4">
        <v>828</v>
      </c>
      <c r="B831" s="5"/>
      <c r="C831" s="6"/>
      <c r="D831" s="11"/>
      <c r="E831" s="16"/>
      <c r="F831" s="16"/>
      <c r="G831" s="16"/>
      <c r="H831" s="9"/>
      <c r="I831" s="10"/>
    </row>
    <row r="832" spans="1:9" x14ac:dyDescent="0.25">
      <c r="A832" s="4">
        <v>829</v>
      </c>
      <c r="B832" s="5"/>
      <c r="C832" s="6"/>
      <c r="D832" s="11"/>
      <c r="E832" s="16"/>
      <c r="F832" s="16"/>
      <c r="G832" s="16"/>
      <c r="H832" s="9"/>
      <c r="I832" s="10"/>
    </row>
    <row r="833" spans="1:9" x14ac:dyDescent="0.25">
      <c r="A833" s="4">
        <v>830</v>
      </c>
      <c r="B833" s="5"/>
      <c r="C833" s="6"/>
      <c r="D833" s="11"/>
      <c r="E833" s="16"/>
      <c r="F833" s="16"/>
      <c r="G833" s="16"/>
      <c r="H833" s="9"/>
      <c r="I833" s="10"/>
    </row>
    <row r="834" spans="1:9" x14ac:dyDescent="0.25">
      <c r="A834" s="4">
        <v>831</v>
      </c>
      <c r="B834" s="5"/>
      <c r="C834" s="6"/>
      <c r="D834" s="11"/>
      <c r="E834" s="16"/>
      <c r="F834" s="16"/>
      <c r="G834" s="16"/>
      <c r="H834" s="9"/>
      <c r="I834" s="10"/>
    </row>
    <row r="835" spans="1:9" x14ac:dyDescent="0.25">
      <c r="A835" s="4">
        <v>832</v>
      </c>
      <c r="B835" s="5"/>
      <c r="C835" s="6"/>
      <c r="D835" s="11"/>
      <c r="E835" s="16"/>
      <c r="F835" s="16"/>
      <c r="G835" s="16"/>
      <c r="H835" s="9"/>
      <c r="I835" s="10"/>
    </row>
    <row r="836" spans="1:9" x14ac:dyDescent="0.25">
      <c r="A836" s="4">
        <v>833</v>
      </c>
      <c r="B836" s="5"/>
      <c r="C836" s="6"/>
      <c r="D836" s="11"/>
      <c r="E836" s="16"/>
      <c r="F836" s="16"/>
      <c r="G836" s="16"/>
      <c r="H836" s="9"/>
      <c r="I836" s="10"/>
    </row>
    <row r="837" spans="1:9" x14ac:dyDescent="0.25">
      <c r="A837" s="4">
        <v>834</v>
      </c>
      <c r="B837" s="5"/>
      <c r="C837" s="6"/>
      <c r="D837" s="11"/>
      <c r="E837" s="16"/>
      <c r="F837" s="16"/>
      <c r="G837" s="16"/>
      <c r="H837" s="9"/>
      <c r="I837" s="10"/>
    </row>
    <row r="838" spans="1:9" x14ac:dyDescent="0.25">
      <c r="A838" s="4">
        <v>835</v>
      </c>
      <c r="B838" s="5"/>
      <c r="C838" s="6"/>
      <c r="D838" s="11"/>
      <c r="E838" s="16"/>
      <c r="F838" s="16"/>
      <c r="G838" s="16"/>
      <c r="H838" s="9"/>
      <c r="I838" s="10"/>
    </row>
    <row r="839" spans="1:9" x14ac:dyDescent="0.25">
      <c r="A839" s="4">
        <v>836</v>
      </c>
      <c r="B839" s="5"/>
      <c r="C839" s="6"/>
      <c r="D839" s="11"/>
      <c r="E839" s="16"/>
      <c r="F839" s="16"/>
      <c r="G839" s="16"/>
      <c r="H839" s="9"/>
      <c r="I839" s="10"/>
    </row>
    <row r="840" spans="1:9" x14ac:dyDescent="0.25">
      <c r="A840" s="4">
        <v>837</v>
      </c>
      <c r="B840" s="5"/>
      <c r="C840" s="6"/>
      <c r="D840" s="11"/>
      <c r="E840" s="16"/>
      <c r="F840" s="16"/>
      <c r="G840" s="16"/>
      <c r="H840" s="9"/>
      <c r="I840" s="10"/>
    </row>
    <row r="841" spans="1:9" x14ac:dyDescent="0.25">
      <c r="A841" s="4">
        <v>838</v>
      </c>
      <c r="B841" s="5"/>
      <c r="C841" s="6"/>
      <c r="D841" s="11"/>
      <c r="E841" s="16"/>
      <c r="F841" s="16"/>
      <c r="G841" s="16"/>
      <c r="H841" s="9"/>
      <c r="I841" s="10"/>
    </row>
    <row r="842" spans="1:9" x14ac:dyDescent="0.25">
      <c r="A842" s="4">
        <v>839</v>
      </c>
      <c r="B842" s="5"/>
      <c r="C842" s="6"/>
      <c r="D842" s="11"/>
      <c r="E842" s="16"/>
      <c r="F842" s="16"/>
      <c r="G842" s="16"/>
      <c r="H842" s="9"/>
      <c r="I842" s="10"/>
    </row>
    <row r="843" spans="1:9" x14ac:dyDescent="0.25">
      <c r="A843" s="4">
        <v>840</v>
      </c>
      <c r="B843" s="5"/>
      <c r="C843" s="6"/>
      <c r="D843" s="11"/>
      <c r="E843" s="16"/>
      <c r="F843" s="16"/>
      <c r="G843" s="16"/>
      <c r="H843" s="9"/>
      <c r="I843" s="10"/>
    </row>
    <row r="844" spans="1:9" x14ac:dyDescent="0.25">
      <c r="A844" s="4">
        <v>841</v>
      </c>
      <c r="B844" s="5"/>
      <c r="C844" s="6"/>
      <c r="D844" s="11"/>
      <c r="E844" s="16"/>
      <c r="F844" s="16"/>
      <c r="G844" s="16"/>
      <c r="H844" s="9"/>
      <c r="I844" s="10"/>
    </row>
    <row r="845" spans="1:9" x14ac:dyDescent="0.25">
      <c r="A845" s="4">
        <v>842</v>
      </c>
      <c r="B845" s="5"/>
      <c r="C845" s="6"/>
      <c r="D845" s="11"/>
      <c r="E845" s="16"/>
      <c r="F845" s="16"/>
      <c r="G845" s="16"/>
      <c r="H845" s="9"/>
      <c r="I845" s="10"/>
    </row>
    <row r="846" spans="1:9" x14ac:dyDescent="0.25">
      <c r="A846" s="4">
        <v>843</v>
      </c>
      <c r="B846" s="5"/>
      <c r="C846" s="6"/>
      <c r="D846" s="11"/>
      <c r="E846" s="16"/>
      <c r="F846" s="16"/>
      <c r="G846" s="16"/>
      <c r="H846" s="9"/>
      <c r="I846" s="10"/>
    </row>
    <row r="847" spans="1:9" x14ac:dyDescent="0.25">
      <c r="A847" s="4">
        <v>844</v>
      </c>
      <c r="B847" s="5"/>
      <c r="C847" s="6"/>
      <c r="D847" s="11"/>
      <c r="E847" s="16"/>
      <c r="F847" s="16"/>
      <c r="G847" s="16"/>
      <c r="H847" s="9"/>
      <c r="I847" s="10"/>
    </row>
    <row r="848" spans="1:9" x14ac:dyDescent="0.25">
      <c r="A848" s="4">
        <v>845</v>
      </c>
      <c r="B848" s="5"/>
      <c r="C848" s="6"/>
      <c r="D848" s="11"/>
      <c r="E848" s="16"/>
      <c r="F848" s="16"/>
      <c r="G848" s="16"/>
      <c r="H848" s="9"/>
      <c r="I848" s="10"/>
    </row>
    <row r="849" spans="1:9" x14ac:dyDescent="0.25">
      <c r="A849" s="4">
        <v>846</v>
      </c>
      <c r="B849" s="5"/>
      <c r="C849" s="6"/>
      <c r="D849" s="11"/>
      <c r="E849" s="16"/>
      <c r="F849" s="16"/>
      <c r="G849" s="16"/>
      <c r="H849" s="9"/>
      <c r="I849" s="10"/>
    </row>
    <row r="850" spans="1:9" x14ac:dyDescent="0.25">
      <c r="A850" s="4">
        <v>847</v>
      </c>
      <c r="B850" s="5"/>
      <c r="C850" s="6"/>
      <c r="D850" s="11"/>
      <c r="E850" s="16"/>
      <c r="F850" s="16"/>
      <c r="G850" s="16"/>
      <c r="H850" s="9"/>
      <c r="I850" s="10"/>
    </row>
    <row r="851" spans="1:9" x14ac:dyDescent="0.25">
      <c r="A851" s="4">
        <v>848</v>
      </c>
      <c r="B851" s="5"/>
      <c r="C851" s="6"/>
      <c r="D851" s="11"/>
      <c r="E851" s="16"/>
      <c r="F851" s="16"/>
      <c r="G851" s="16"/>
      <c r="H851" s="9"/>
      <c r="I851" s="10"/>
    </row>
    <row r="852" spans="1:9" x14ac:dyDescent="0.25">
      <c r="A852" s="4">
        <v>849</v>
      </c>
      <c r="B852" s="5"/>
      <c r="C852" s="6"/>
      <c r="D852" s="11"/>
      <c r="E852" s="16"/>
      <c r="F852" s="16"/>
      <c r="G852" s="16"/>
      <c r="H852" s="9"/>
      <c r="I852" s="10"/>
    </row>
    <row r="853" spans="1:9" x14ac:dyDescent="0.25">
      <c r="A853" s="4">
        <v>850</v>
      </c>
      <c r="B853" s="5"/>
      <c r="C853" s="6"/>
      <c r="D853" s="11"/>
      <c r="E853" s="16"/>
      <c r="F853" s="16"/>
      <c r="G853" s="16"/>
      <c r="H853" s="9"/>
      <c r="I853" s="10"/>
    </row>
    <row r="854" spans="1:9" x14ac:dyDescent="0.25">
      <c r="A854" s="4">
        <v>851</v>
      </c>
      <c r="B854" s="5"/>
      <c r="C854" s="6"/>
      <c r="D854" s="11"/>
      <c r="E854" s="16"/>
      <c r="F854" s="16"/>
      <c r="G854" s="16"/>
      <c r="H854" s="9"/>
      <c r="I854" s="10"/>
    </row>
    <row r="855" spans="1:9" x14ac:dyDescent="0.25">
      <c r="A855" s="4">
        <v>852</v>
      </c>
      <c r="B855" s="5"/>
      <c r="C855" s="6"/>
      <c r="D855" s="11"/>
      <c r="E855" s="16"/>
      <c r="F855" s="16"/>
      <c r="G855" s="16"/>
      <c r="H855" s="9"/>
      <c r="I855" s="10"/>
    </row>
    <row r="856" spans="1:9" x14ac:dyDescent="0.25">
      <c r="A856" s="4">
        <v>853</v>
      </c>
      <c r="B856" s="5"/>
      <c r="C856" s="6"/>
      <c r="D856" s="11"/>
      <c r="E856" s="16"/>
      <c r="F856" s="16"/>
      <c r="G856" s="16"/>
      <c r="H856" s="9"/>
      <c r="I856" s="10"/>
    </row>
    <row r="857" spans="1:9" x14ac:dyDescent="0.25">
      <c r="A857" s="4">
        <v>854</v>
      </c>
      <c r="B857" s="5"/>
      <c r="C857" s="6"/>
      <c r="D857" s="11"/>
      <c r="E857" s="16"/>
      <c r="F857" s="16"/>
      <c r="G857" s="16"/>
      <c r="H857" s="9"/>
      <c r="I857" s="10"/>
    </row>
    <row r="858" spans="1:9" x14ac:dyDescent="0.25">
      <c r="A858" s="4">
        <v>855</v>
      </c>
      <c r="B858" s="5"/>
      <c r="C858" s="6"/>
      <c r="D858" s="11"/>
      <c r="E858" s="16"/>
      <c r="F858" s="16"/>
      <c r="G858" s="16"/>
      <c r="H858" s="9"/>
      <c r="I858" s="10"/>
    </row>
    <row r="859" spans="1:9" x14ac:dyDescent="0.25">
      <c r="A859" s="4">
        <v>856</v>
      </c>
      <c r="B859" s="5"/>
      <c r="C859" s="6"/>
      <c r="D859" s="11"/>
      <c r="E859" s="16"/>
      <c r="F859" s="16"/>
      <c r="G859" s="16"/>
      <c r="H859" s="9"/>
      <c r="I859" s="10"/>
    </row>
    <row r="860" spans="1:9" x14ac:dyDescent="0.25">
      <c r="A860" s="4">
        <v>857</v>
      </c>
      <c r="B860" s="5"/>
      <c r="C860" s="6"/>
      <c r="D860" s="11"/>
      <c r="E860" s="16"/>
      <c r="F860" s="16"/>
      <c r="G860" s="16"/>
      <c r="H860" s="9"/>
      <c r="I860" s="10"/>
    </row>
    <row r="861" spans="1:9" x14ac:dyDescent="0.25">
      <c r="A861" s="4">
        <v>858</v>
      </c>
      <c r="B861" s="5"/>
      <c r="C861" s="6"/>
      <c r="D861" s="11"/>
      <c r="E861" s="16"/>
      <c r="F861" s="16"/>
      <c r="G861" s="16"/>
      <c r="H861" s="9"/>
      <c r="I861" s="10"/>
    </row>
    <row r="862" spans="1:9" x14ac:dyDescent="0.25">
      <c r="A862" s="4">
        <v>859</v>
      </c>
      <c r="B862" s="5"/>
      <c r="C862" s="6"/>
      <c r="D862" s="11"/>
      <c r="E862" s="16"/>
      <c r="F862" s="16"/>
      <c r="G862" s="16"/>
      <c r="H862" s="9"/>
      <c r="I862" s="10"/>
    </row>
    <row r="863" spans="1:9" x14ac:dyDescent="0.25">
      <c r="A863" s="4">
        <v>860</v>
      </c>
      <c r="B863" s="5"/>
      <c r="C863" s="6"/>
      <c r="D863" s="11"/>
      <c r="E863" s="16"/>
      <c r="F863" s="16"/>
      <c r="G863" s="16"/>
      <c r="H863" s="9"/>
      <c r="I863" s="10"/>
    </row>
    <row r="864" spans="1:9" x14ac:dyDescent="0.25">
      <c r="A864" s="4">
        <v>861</v>
      </c>
      <c r="B864" s="5"/>
      <c r="C864" s="6"/>
      <c r="D864" s="11"/>
      <c r="E864" s="16"/>
      <c r="F864" s="16"/>
      <c r="G864" s="16"/>
      <c r="H864" s="9"/>
      <c r="I864" s="10"/>
    </row>
    <row r="865" spans="1:9" x14ac:dyDescent="0.25">
      <c r="A865" s="4">
        <v>862</v>
      </c>
      <c r="B865" s="5"/>
      <c r="C865" s="6"/>
      <c r="D865" s="11"/>
      <c r="E865" s="16"/>
      <c r="F865" s="16"/>
      <c r="G865" s="16"/>
      <c r="H865" s="9"/>
      <c r="I865" s="10"/>
    </row>
    <row r="866" spans="1:9" x14ac:dyDescent="0.25">
      <c r="A866" s="4">
        <v>863</v>
      </c>
      <c r="B866" s="5"/>
      <c r="C866" s="6"/>
      <c r="D866" s="11"/>
      <c r="E866" s="16"/>
      <c r="F866" s="16"/>
      <c r="G866" s="16"/>
      <c r="H866" s="9"/>
      <c r="I866" s="10"/>
    </row>
    <row r="867" spans="1:9" x14ac:dyDescent="0.25">
      <c r="A867" s="4">
        <v>864</v>
      </c>
      <c r="B867" s="5"/>
      <c r="C867" s="6"/>
      <c r="D867" s="11"/>
      <c r="E867" s="16"/>
      <c r="F867" s="16"/>
      <c r="G867" s="16"/>
      <c r="H867" s="9"/>
      <c r="I867" s="10"/>
    </row>
    <row r="868" spans="1:9" x14ac:dyDescent="0.25">
      <c r="A868" s="4">
        <v>865</v>
      </c>
      <c r="B868" s="5"/>
      <c r="C868" s="6"/>
      <c r="D868" s="11"/>
      <c r="E868" s="16"/>
      <c r="F868" s="16"/>
      <c r="G868" s="16"/>
      <c r="H868" s="9"/>
      <c r="I868" s="10"/>
    </row>
    <row r="869" spans="1:9" x14ac:dyDescent="0.25">
      <c r="A869" s="4">
        <v>866</v>
      </c>
      <c r="B869" s="5"/>
      <c r="C869" s="6"/>
      <c r="D869" s="11"/>
      <c r="E869" s="16"/>
      <c r="F869" s="16"/>
      <c r="G869" s="16"/>
      <c r="H869" s="9"/>
      <c r="I869" s="10"/>
    </row>
    <row r="870" spans="1:9" x14ac:dyDescent="0.25">
      <c r="A870" s="4">
        <v>867</v>
      </c>
      <c r="B870" s="5"/>
      <c r="C870" s="6"/>
      <c r="D870" s="11"/>
      <c r="E870" s="16"/>
      <c r="F870" s="16"/>
      <c r="G870" s="16"/>
      <c r="H870" s="9"/>
      <c r="I870" s="10"/>
    </row>
    <row r="871" spans="1:9" x14ac:dyDescent="0.25">
      <c r="A871" s="4">
        <v>868</v>
      </c>
      <c r="B871" s="5"/>
      <c r="C871" s="6"/>
      <c r="D871" s="11"/>
      <c r="E871" s="16"/>
      <c r="F871" s="16"/>
      <c r="G871" s="16"/>
      <c r="H871" s="9"/>
      <c r="I871" s="10"/>
    </row>
    <row r="872" spans="1:9" x14ac:dyDescent="0.25">
      <c r="A872" s="4">
        <v>869</v>
      </c>
      <c r="B872" s="5"/>
      <c r="C872" s="6"/>
      <c r="D872" s="11"/>
      <c r="E872" s="16"/>
      <c r="F872" s="16"/>
      <c r="G872" s="16"/>
      <c r="H872" s="9"/>
      <c r="I872" s="10"/>
    </row>
    <row r="873" spans="1:9" x14ac:dyDescent="0.25">
      <c r="A873" s="4">
        <v>870</v>
      </c>
      <c r="B873" s="5"/>
      <c r="C873" s="6"/>
      <c r="D873" s="11"/>
      <c r="E873" s="16"/>
      <c r="F873" s="16"/>
      <c r="G873" s="16"/>
      <c r="H873" s="9"/>
      <c r="I873" s="10"/>
    </row>
    <row r="874" spans="1:9" x14ac:dyDescent="0.25">
      <c r="A874" s="4">
        <v>871</v>
      </c>
      <c r="B874" s="5"/>
      <c r="C874" s="6"/>
      <c r="D874" s="11"/>
      <c r="E874" s="16"/>
      <c r="F874" s="16"/>
      <c r="G874" s="16"/>
      <c r="H874" s="9"/>
      <c r="I874" s="10"/>
    </row>
    <row r="875" spans="1:9" x14ac:dyDescent="0.25">
      <c r="A875" s="4">
        <v>872</v>
      </c>
      <c r="B875" s="5"/>
      <c r="C875" s="6"/>
      <c r="D875" s="11"/>
      <c r="E875" s="16"/>
      <c r="F875" s="16"/>
      <c r="G875" s="16"/>
      <c r="H875" s="9"/>
      <c r="I875" s="10"/>
    </row>
    <row r="876" spans="1:9" x14ac:dyDescent="0.25">
      <c r="A876" s="4">
        <v>873</v>
      </c>
      <c r="B876" s="5"/>
      <c r="C876" s="6"/>
      <c r="D876" s="11"/>
      <c r="E876" s="16"/>
      <c r="F876" s="16"/>
      <c r="G876" s="16"/>
      <c r="H876" s="9"/>
      <c r="I876" s="10"/>
    </row>
    <row r="877" spans="1:9" x14ac:dyDescent="0.25">
      <c r="A877" s="4">
        <v>874</v>
      </c>
      <c r="B877" s="5"/>
      <c r="C877" s="6"/>
      <c r="D877" s="11"/>
      <c r="E877" s="16"/>
      <c r="F877" s="16"/>
      <c r="G877" s="16"/>
      <c r="H877" s="9"/>
      <c r="I877" s="10"/>
    </row>
    <row r="878" spans="1:9" x14ac:dyDescent="0.25">
      <c r="A878" s="4">
        <v>875</v>
      </c>
      <c r="B878" s="5"/>
      <c r="C878" s="6"/>
      <c r="D878" s="11"/>
      <c r="E878" s="16"/>
      <c r="F878" s="16"/>
      <c r="G878" s="16"/>
      <c r="H878" s="9"/>
      <c r="I878" s="10"/>
    </row>
    <row r="879" spans="1:9" x14ac:dyDescent="0.25">
      <c r="A879" s="4">
        <v>876</v>
      </c>
      <c r="B879" s="5"/>
      <c r="C879" s="6"/>
      <c r="D879" s="11"/>
      <c r="E879" s="16"/>
      <c r="F879" s="16"/>
      <c r="G879" s="16"/>
      <c r="H879" s="9"/>
      <c r="I879" s="10"/>
    </row>
    <row r="880" spans="1:9" x14ac:dyDescent="0.25">
      <c r="A880" s="4">
        <v>877</v>
      </c>
      <c r="B880" s="5"/>
      <c r="C880" s="6"/>
      <c r="D880" s="11"/>
      <c r="E880" s="16"/>
      <c r="F880" s="16"/>
      <c r="G880" s="16"/>
      <c r="H880" s="9"/>
      <c r="I880" s="10"/>
    </row>
    <row r="881" spans="1:9" x14ac:dyDescent="0.25">
      <c r="A881" s="4">
        <v>878</v>
      </c>
      <c r="B881" s="5"/>
      <c r="C881" s="6"/>
      <c r="D881" s="11"/>
      <c r="E881" s="16"/>
      <c r="F881" s="16"/>
      <c r="G881" s="16"/>
      <c r="H881" s="9"/>
      <c r="I881" s="10"/>
    </row>
    <row r="882" spans="1:9" x14ac:dyDescent="0.25">
      <c r="A882" s="4">
        <v>879</v>
      </c>
      <c r="B882" s="5"/>
      <c r="C882" s="6"/>
      <c r="D882" s="11"/>
      <c r="E882" s="16"/>
      <c r="F882" s="16"/>
      <c r="G882" s="16"/>
      <c r="H882" s="9"/>
      <c r="I882" s="10"/>
    </row>
    <row r="883" spans="1:9" x14ac:dyDescent="0.25">
      <c r="A883" s="4">
        <v>880</v>
      </c>
      <c r="B883" s="5"/>
      <c r="C883" s="6"/>
      <c r="D883" s="11"/>
      <c r="E883" s="16"/>
      <c r="F883" s="16"/>
      <c r="G883" s="16"/>
      <c r="H883" s="9"/>
      <c r="I883" s="10"/>
    </row>
    <row r="884" spans="1:9" x14ac:dyDescent="0.25">
      <c r="A884" s="4">
        <v>881</v>
      </c>
      <c r="B884" s="5"/>
      <c r="C884" s="6"/>
      <c r="D884" s="11"/>
      <c r="E884" s="16"/>
      <c r="F884" s="16"/>
      <c r="G884" s="16"/>
      <c r="H884" s="9"/>
      <c r="I884" s="10"/>
    </row>
    <row r="885" spans="1:9" x14ac:dyDescent="0.25">
      <c r="A885" s="4">
        <v>882</v>
      </c>
      <c r="B885" s="5"/>
      <c r="C885" s="6"/>
      <c r="D885" s="11"/>
      <c r="E885" s="16"/>
      <c r="F885" s="16"/>
      <c r="G885" s="16"/>
      <c r="H885" s="9"/>
      <c r="I885" s="10"/>
    </row>
    <row r="886" spans="1:9" x14ac:dyDescent="0.25">
      <c r="A886" s="4">
        <v>883</v>
      </c>
      <c r="B886" s="5"/>
      <c r="C886" s="6"/>
      <c r="D886" s="11"/>
      <c r="E886" s="16"/>
      <c r="F886" s="16"/>
      <c r="G886" s="16"/>
      <c r="H886" s="9"/>
      <c r="I886" s="10"/>
    </row>
    <row r="887" spans="1:9" x14ac:dyDescent="0.25">
      <c r="A887" s="4">
        <v>884</v>
      </c>
      <c r="B887" s="5"/>
      <c r="C887" s="6"/>
      <c r="D887" s="11"/>
      <c r="E887" s="16"/>
      <c r="F887" s="16"/>
      <c r="G887" s="16"/>
      <c r="H887" s="9"/>
      <c r="I887" s="10"/>
    </row>
    <row r="888" spans="1:9" x14ac:dyDescent="0.25">
      <c r="A888" s="4">
        <v>885</v>
      </c>
      <c r="B888" s="5"/>
      <c r="C888" s="6"/>
      <c r="D888" s="11"/>
      <c r="E888" s="16"/>
      <c r="F888" s="16"/>
      <c r="G888" s="16"/>
      <c r="H888" s="9"/>
      <c r="I888" s="10"/>
    </row>
    <row r="889" spans="1:9" x14ac:dyDescent="0.25">
      <c r="A889" s="4">
        <v>886</v>
      </c>
      <c r="B889" s="5"/>
      <c r="C889" s="6"/>
      <c r="D889" s="11"/>
      <c r="E889" s="16"/>
      <c r="F889" s="16"/>
      <c r="G889" s="16"/>
      <c r="H889" s="9"/>
      <c r="I889" s="10"/>
    </row>
    <row r="890" spans="1:9" x14ac:dyDescent="0.25">
      <c r="A890" s="4">
        <v>887</v>
      </c>
      <c r="B890" s="5"/>
      <c r="C890" s="6"/>
      <c r="D890" s="11"/>
      <c r="E890" s="16"/>
      <c r="F890" s="16"/>
      <c r="G890" s="16"/>
      <c r="H890" s="9"/>
      <c r="I890" s="10"/>
    </row>
    <row r="891" spans="1:9" x14ac:dyDescent="0.25">
      <c r="A891" s="4">
        <v>888</v>
      </c>
      <c r="B891" s="5"/>
      <c r="C891" s="6"/>
      <c r="D891" s="11"/>
      <c r="E891" s="16"/>
      <c r="F891" s="16"/>
      <c r="G891" s="16"/>
      <c r="H891" s="9"/>
      <c r="I891" s="10"/>
    </row>
    <row r="892" spans="1:9" x14ac:dyDescent="0.25">
      <c r="A892" s="4">
        <v>889</v>
      </c>
      <c r="B892" s="5"/>
      <c r="C892" s="6"/>
      <c r="D892" s="11"/>
      <c r="E892" s="16"/>
      <c r="F892" s="16"/>
      <c r="G892" s="16"/>
      <c r="H892" s="9"/>
      <c r="I892" s="10"/>
    </row>
    <row r="893" spans="1:9" x14ac:dyDescent="0.25">
      <c r="A893" s="4">
        <v>890</v>
      </c>
      <c r="B893" s="5"/>
      <c r="C893" s="6"/>
      <c r="D893" s="11"/>
      <c r="E893" s="16"/>
      <c r="F893" s="16"/>
      <c r="G893" s="16"/>
      <c r="H893" s="9"/>
      <c r="I893" s="10"/>
    </row>
    <row r="894" spans="1:9" x14ac:dyDescent="0.25">
      <c r="A894" s="4">
        <v>891</v>
      </c>
      <c r="B894" s="5"/>
      <c r="C894" s="6"/>
      <c r="D894" s="11"/>
      <c r="E894" s="16"/>
      <c r="F894" s="16"/>
      <c r="G894" s="16"/>
      <c r="H894" s="9"/>
      <c r="I894" s="10"/>
    </row>
    <row r="895" spans="1:9" x14ac:dyDescent="0.25">
      <c r="A895" s="4">
        <v>892</v>
      </c>
      <c r="B895" s="5"/>
      <c r="C895" s="6"/>
      <c r="D895" s="11"/>
      <c r="E895" s="16"/>
      <c r="F895" s="16"/>
      <c r="G895" s="16"/>
      <c r="H895" s="9"/>
      <c r="I895" s="10"/>
    </row>
    <row r="896" spans="1:9" x14ac:dyDescent="0.25">
      <c r="A896" s="4">
        <v>893</v>
      </c>
      <c r="B896" s="5"/>
      <c r="C896" s="6"/>
      <c r="D896" s="11"/>
      <c r="E896" s="16"/>
      <c r="F896" s="16"/>
      <c r="G896" s="16"/>
      <c r="H896" s="9"/>
      <c r="I896" s="10"/>
    </row>
    <row r="897" spans="1:9" x14ac:dyDescent="0.25">
      <c r="A897" s="4">
        <v>894</v>
      </c>
      <c r="B897" s="5"/>
      <c r="C897" s="6"/>
      <c r="D897" s="11"/>
      <c r="E897" s="16"/>
      <c r="F897" s="16"/>
      <c r="G897" s="16"/>
      <c r="H897" s="9"/>
      <c r="I897" s="10"/>
    </row>
    <row r="898" spans="1:9" x14ac:dyDescent="0.25">
      <c r="A898" s="4">
        <v>895</v>
      </c>
      <c r="B898" s="5"/>
      <c r="C898" s="6"/>
      <c r="D898" s="11"/>
      <c r="E898" s="16"/>
      <c r="F898" s="16"/>
      <c r="G898" s="16"/>
      <c r="H898" s="9"/>
      <c r="I898" s="10"/>
    </row>
    <row r="899" spans="1:9" x14ac:dyDescent="0.25">
      <c r="A899" s="4">
        <v>896</v>
      </c>
      <c r="B899" s="5"/>
      <c r="C899" s="6"/>
      <c r="D899" s="11"/>
      <c r="E899" s="16"/>
      <c r="F899" s="16"/>
      <c r="G899" s="16"/>
      <c r="H899" s="9"/>
      <c r="I899" s="10"/>
    </row>
    <row r="900" spans="1:9" x14ac:dyDescent="0.25">
      <c r="A900" s="4">
        <v>897</v>
      </c>
      <c r="B900" s="5"/>
      <c r="C900" s="6"/>
      <c r="D900" s="11"/>
      <c r="E900" s="16"/>
      <c r="F900" s="16"/>
      <c r="G900" s="16"/>
      <c r="H900" s="9"/>
      <c r="I900" s="10"/>
    </row>
    <row r="901" spans="1:9" x14ac:dyDescent="0.25">
      <c r="A901" s="4">
        <v>898</v>
      </c>
      <c r="B901" s="5"/>
      <c r="C901" s="6"/>
      <c r="D901" s="11"/>
      <c r="E901" s="16"/>
      <c r="F901" s="16"/>
      <c r="G901" s="16"/>
      <c r="H901" s="9"/>
      <c r="I901" s="10"/>
    </row>
    <row r="902" spans="1:9" x14ac:dyDescent="0.25">
      <c r="A902" s="4">
        <v>899</v>
      </c>
      <c r="B902" s="5"/>
      <c r="C902" s="6"/>
      <c r="D902" s="11"/>
      <c r="E902" s="16"/>
      <c r="F902" s="16"/>
      <c r="G902" s="16"/>
      <c r="H902" s="9"/>
      <c r="I902" s="10"/>
    </row>
    <row r="903" spans="1:9" x14ac:dyDescent="0.25">
      <c r="A903" s="4">
        <v>900</v>
      </c>
      <c r="B903" s="5"/>
      <c r="C903" s="6"/>
      <c r="D903" s="11"/>
      <c r="E903" s="16"/>
      <c r="F903" s="16"/>
      <c r="G903" s="16"/>
      <c r="H903" s="9"/>
      <c r="I903" s="10"/>
    </row>
    <row r="904" spans="1:9" x14ac:dyDescent="0.25">
      <c r="A904" s="4">
        <v>901</v>
      </c>
      <c r="B904" s="5"/>
      <c r="C904" s="6"/>
      <c r="D904" s="11"/>
      <c r="E904" s="16"/>
      <c r="F904" s="16"/>
      <c r="G904" s="16"/>
      <c r="H904" s="9"/>
      <c r="I904" s="10"/>
    </row>
    <row r="905" spans="1:9" x14ac:dyDescent="0.25">
      <c r="A905" s="4">
        <v>902</v>
      </c>
      <c r="B905" s="5"/>
      <c r="C905" s="6"/>
      <c r="D905" s="11"/>
      <c r="E905" s="16"/>
      <c r="F905" s="16"/>
      <c r="G905" s="16"/>
      <c r="H905" s="9"/>
      <c r="I905" s="10"/>
    </row>
    <row r="906" spans="1:9" x14ac:dyDescent="0.25">
      <c r="A906" s="4">
        <v>903</v>
      </c>
      <c r="B906" s="5"/>
      <c r="C906" s="6"/>
      <c r="D906" s="11"/>
      <c r="E906" s="16"/>
      <c r="F906" s="16"/>
      <c r="G906" s="16"/>
      <c r="H906" s="9"/>
      <c r="I906" s="10"/>
    </row>
    <row r="907" spans="1:9" x14ac:dyDescent="0.25">
      <c r="A907" s="4">
        <v>904</v>
      </c>
      <c r="B907" s="5"/>
      <c r="C907" s="6"/>
      <c r="D907" s="11"/>
      <c r="E907" s="16"/>
      <c r="F907" s="16"/>
      <c r="G907" s="16"/>
      <c r="H907" s="9"/>
      <c r="I907" s="10"/>
    </row>
    <row r="908" spans="1:9" x14ac:dyDescent="0.25">
      <c r="A908" s="4">
        <v>905</v>
      </c>
      <c r="B908" s="5"/>
      <c r="C908" s="6"/>
      <c r="D908" s="11"/>
      <c r="E908" s="16"/>
      <c r="F908" s="16"/>
      <c r="G908" s="16"/>
      <c r="H908" s="9"/>
      <c r="I908" s="10"/>
    </row>
    <row r="909" spans="1:9" x14ac:dyDescent="0.25">
      <c r="A909" s="4">
        <v>906</v>
      </c>
      <c r="B909" s="5"/>
      <c r="C909" s="6"/>
      <c r="D909" s="11"/>
      <c r="E909" s="16"/>
      <c r="F909" s="16"/>
      <c r="G909" s="16"/>
      <c r="H909" s="9"/>
      <c r="I909" s="10"/>
    </row>
    <row r="910" spans="1:9" x14ac:dyDescent="0.25">
      <c r="A910" s="4">
        <v>907</v>
      </c>
      <c r="B910" s="5"/>
      <c r="C910" s="6"/>
      <c r="D910" s="11"/>
      <c r="E910" s="16"/>
      <c r="F910" s="16"/>
      <c r="G910" s="16"/>
      <c r="H910" s="9"/>
      <c r="I910" s="10"/>
    </row>
    <row r="911" spans="1:9" x14ac:dyDescent="0.25">
      <c r="A911" s="4">
        <v>908</v>
      </c>
      <c r="B911" s="5"/>
      <c r="C911" s="6"/>
      <c r="D911" s="11"/>
      <c r="E911" s="16"/>
      <c r="F911" s="16"/>
      <c r="G911" s="16"/>
      <c r="H911" s="9"/>
      <c r="I911" s="10"/>
    </row>
    <row r="912" spans="1:9" x14ac:dyDescent="0.25">
      <c r="A912" s="4">
        <v>909</v>
      </c>
      <c r="B912" s="5"/>
      <c r="C912" s="6"/>
      <c r="D912" s="11"/>
      <c r="E912" s="16"/>
      <c r="F912" s="16"/>
      <c r="G912" s="16"/>
      <c r="H912" s="9"/>
      <c r="I912" s="10"/>
    </row>
    <row r="913" spans="1:9" x14ac:dyDescent="0.25">
      <c r="A913" s="4">
        <v>910</v>
      </c>
      <c r="B913" s="5"/>
      <c r="C913" s="6"/>
      <c r="D913" s="11"/>
      <c r="E913" s="16"/>
      <c r="F913" s="16"/>
      <c r="G913" s="16"/>
      <c r="H913" s="9"/>
      <c r="I913" s="10"/>
    </row>
    <row r="914" spans="1:9" x14ac:dyDescent="0.25">
      <c r="A914" s="4">
        <v>911</v>
      </c>
      <c r="B914" s="5"/>
      <c r="C914" s="6"/>
      <c r="D914" s="11"/>
      <c r="E914" s="16"/>
      <c r="F914" s="16"/>
      <c r="G914" s="16"/>
      <c r="H914" s="9"/>
      <c r="I914" s="10"/>
    </row>
    <row r="915" spans="1:9" x14ac:dyDescent="0.25">
      <c r="A915" s="4">
        <v>912</v>
      </c>
      <c r="B915" s="5"/>
      <c r="C915" s="6"/>
      <c r="D915" s="11"/>
      <c r="E915" s="16"/>
      <c r="F915" s="16"/>
      <c r="G915" s="16"/>
      <c r="H915" s="9"/>
      <c r="I915" s="10"/>
    </row>
    <row r="916" spans="1:9" x14ac:dyDescent="0.25">
      <c r="A916" s="4">
        <v>913</v>
      </c>
      <c r="B916" s="5"/>
      <c r="C916" s="6"/>
      <c r="D916" s="11"/>
      <c r="E916" s="16"/>
      <c r="F916" s="16"/>
      <c r="G916" s="16"/>
      <c r="H916" s="9"/>
      <c r="I916" s="10"/>
    </row>
    <row r="917" spans="1:9" x14ac:dyDescent="0.25">
      <c r="A917" s="4">
        <v>914</v>
      </c>
      <c r="B917" s="5"/>
      <c r="C917" s="6"/>
      <c r="D917" s="11"/>
      <c r="E917" s="16"/>
      <c r="F917" s="16"/>
      <c r="G917" s="16"/>
      <c r="H917" s="9"/>
      <c r="I917" s="10"/>
    </row>
    <row r="918" spans="1:9" x14ac:dyDescent="0.25">
      <c r="A918" s="4">
        <v>915</v>
      </c>
      <c r="B918" s="5"/>
      <c r="C918" s="6"/>
      <c r="D918" s="11"/>
      <c r="E918" s="16"/>
      <c r="F918" s="16"/>
      <c r="G918" s="16"/>
      <c r="H918" s="9"/>
      <c r="I918" s="10"/>
    </row>
    <row r="919" spans="1:9" x14ac:dyDescent="0.25">
      <c r="A919" s="4">
        <v>916</v>
      </c>
      <c r="B919" s="5"/>
      <c r="C919" s="6"/>
      <c r="D919" s="11"/>
      <c r="E919" s="16"/>
      <c r="F919" s="16"/>
      <c r="G919" s="16"/>
      <c r="H919" s="9"/>
      <c r="I919" s="10"/>
    </row>
    <row r="920" spans="1:9" x14ac:dyDescent="0.25">
      <c r="A920" s="4">
        <v>917</v>
      </c>
      <c r="B920" s="5"/>
      <c r="C920" s="6"/>
      <c r="D920" s="11"/>
      <c r="E920" s="16"/>
      <c r="F920" s="16"/>
      <c r="G920" s="16"/>
      <c r="H920" s="9"/>
      <c r="I920" s="10"/>
    </row>
    <row r="921" spans="1:9" x14ac:dyDescent="0.25">
      <c r="A921" s="4">
        <v>918</v>
      </c>
      <c r="B921" s="5"/>
      <c r="C921" s="6"/>
      <c r="D921" s="11"/>
      <c r="E921" s="16"/>
      <c r="F921" s="16"/>
      <c r="G921" s="16"/>
      <c r="H921" s="9"/>
      <c r="I921" s="10"/>
    </row>
    <row r="922" spans="1:9" x14ac:dyDescent="0.25">
      <c r="A922" s="4">
        <v>919</v>
      </c>
      <c r="B922" s="5"/>
      <c r="C922" s="6"/>
      <c r="D922" s="11"/>
      <c r="E922" s="16"/>
      <c r="F922" s="16"/>
      <c r="G922" s="16"/>
      <c r="H922" s="9"/>
      <c r="I922" s="10"/>
    </row>
    <row r="923" spans="1:9" x14ac:dyDescent="0.25">
      <c r="A923" s="4">
        <v>920</v>
      </c>
      <c r="B923" s="5"/>
      <c r="C923" s="6"/>
      <c r="D923" s="11"/>
      <c r="E923" s="16"/>
      <c r="F923" s="16"/>
      <c r="G923" s="16"/>
      <c r="H923" s="9"/>
      <c r="I923" s="10"/>
    </row>
    <row r="924" spans="1:9" x14ac:dyDescent="0.25">
      <c r="A924" s="4">
        <v>921</v>
      </c>
      <c r="B924" s="5"/>
      <c r="C924" s="6"/>
      <c r="D924" s="11"/>
      <c r="E924" s="16"/>
      <c r="F924" s="16"/>
      <c r="G924" s="16"/>
      <c r="H924" s="9"/>
      <c r="I924" s="10"/>
    </row>
    <row r="925" spans="1:9" x14ac:dyDescent="0.25">
      <c r="A925" s="4">
        <v>922</v>
      </c>
      <c r="B925" s="5"/>
      <c r="C925" s="6"/>
      <c r="D925" s="11"/>
      <c r="E925" s="16"/>
      <c r="F925" s="16"/>
      <c r="G925" s="16"/>
      <c r="H925" s="9"/>
      <c r="I925" s="10"/>
    </row>
    <row r="926" spans="1:9" x14ac:dyDescent="0.25">
      <c r="A926" s="4">
        <v>923</v>
      </c>
      <c r="B926" s="5"/>
      <c r="C926" s="6"/>
      <c r="D926" s="11"/>
      <c r="E926" s="16"/>
      <c r="F926" s="16"/>
      <c r="G926" s="16"/>
      <c r="H926" s="9"/>
      <c r="I926" s="10"/>
    </row>
    <row r="927" spans="1:9" x14ac:dyDescent="0.25">
      <c r="A927" s="4">
        <v>924</v>
      </c>
      <c r="B927" s="5"/>
      <c r="C927" s="6"/>
      <c r="D927" s="11"/>
      <c r="E927" s="16"/>
      <c r="F927" s="16"/>
      <c r="G927" s="16"/>
      <c r="H927" s="9"/>
      <c r="I927" s="10"/>
    </row>
    <row r="928" spans="1:9" x14ac:dyDescent="0.25">
      <c r="A928" s="4">
        <v>925</v>
      </c>
      <c r="B928" s="5"/>
      <c r="C928" s="6"/>
      <c r="D928" s="11"/>
      <c r="E928" s="16"/>
      <c r="F928" s="16"/>
      <c r="G928" s="16"/>
      <c r="H928" s="9"/>
      <c r="I928" s="10"/>
    </row>
    <row r="929" spans="1:9" x14ac:dyDescent="0.25">
      <c r="A929" s="4">
        <v>926</v>
      </c>
      <c r="B929" s="5"/>
      <c r="C929" s="6"/>
      <c r="D929" s="11"/>
      <c r="E929" s="16"/>
      <c r="F929" s="16"/>
      <c r="G929" s="16"/>
      <c r="H929" s="9"/>
      <c r="I929" s="10"/>
    </row>
    <row r="930" spans="1:9" x14ac:dyDescent="0.25">
      <c r="A930" s="4">
        <v>927</v>
      </c>
      <c r="B930" s="5"/>
      <c r="C930" s="6"/>
      <c r="D930" s="11"/>
      <c r="E930" s="16"/>
      <c r="F930" s="16"/>
      <c r="G930" s="16"/>
      <c r="H930" s="9"/>
      <c r="I930" s="10"/>
    </row>
    <row r="931" spans="1:9" x14ac:dyDescent="0.25">
      <c r="A931" s="4">
        <v>928</v>
      </c>
      <c r="B931" s="5"/>
      <c r="C931" s="6"/>
      <c r="D931" s="11"/>
      <c r="E931" s="16"/>
      <c r="F931" s="16"/>
      <c r="G931" s="16"/>
      <c r="H931" s="9"/>
      <c r="I931" s="10"/>
    </row>
    <row r="932" spans="1:9" x14ac:dyDescent="0.25">
      <c r="A932" s="4">
        <v>929</v>
      </c>
      <c r="B932" s="5"/>
      <c r="C932" s="6"/>
      <c r="D932" s="11"/>
      <c r="E932" s="16"/>
      <c r="F932" s="16"/>
      <c r="G932" s="16"/>
      <c r="H932" s="9"/>
      <c r="I932" s="10"/>
    </row>
    <row r="933" spans="1:9" x14ac:dyDescent="0.25">
      <c r="A933" s="4">
        <v>930</v>
      </c>
      <c r="B933" s="5"/>
      <c r="C933" s="6"/>
      <c r="D933" s="11"/>
      <c r="E933" s="16"/>
      <c r="F933" s="16"/>
      <c r="G933" s="16"/>
      <c r="H933" s="9"/>
      <c r="I933" s="10"/>
    </row>
    <row r="934" spans="1:9" x14ac:dyDescent="0.25">
      <c r="A934" s="4">
        <v>931</v>
      </c>
      <c r="B934" s="5"/>
      <c r="C934" s="6"/>
      <c r="D934" s="11"/>
      <c r="E934" s="16"/>
      <c r="F934" s="16"/>
      <c r="G934" s="16"/>
      <c r="H934" s="9"/>
      <c r="I934" s="10"/>
    </row>
    <row r="935" spans="1:9" x14ac:dyDescent="0.25">
      <c r="A935" s="4">
        <v>932</v>
      </c>
      <c r="B935" s="5"/>
      <c r="C935" s="6"/>
      <c r="D935" s="11"/>
      <c r="E935" s="16"/>
      <c r="F935" s="16"/>
      <c r="G935" s="16"/>
      <c r="H935" s="9"/>
      <c r="I935" s="10"/>
    </row>
    <row r="936" spans="1:9" x14ac:dyDescent="0.25">
      <c r="A936" s="4">
        <v>933</v>
      </c>
      <c r="B936" s="5"/>
      <c r="C936" s="6"/>
      <c r="D936" s="11"/>
      <c r="E936" s="16"/>
      <c r="F936" s="16"/>
      <c r="G936" s="16"/>
      <c r="H936" s="9"/>
      <c r="I936" s="10"/>
    </row>
    <row r="937" spans="1:9" x14ac:dyDescent="0.25">
      <c r="A937" s="4">
        <v>934</v>
      </c>
      <c r="B937" s="5"/>
      <c r="C937" s="6"/>
      <c r="D937" s="11"/>
      <c r="E937" s="16"/>
      <c r="F937" s="16"/>
      <c r="G937" s="16"/>
      <c r="H937" s="9"/>
      <c r="I937" s="10"/>
    </row>
    <row r="938" spans="1:9" x14ac:dyDescent="0.25">
      <c r="A938" s="4">
        <v>935</v>
      </c>
      <c r="B938" s="5"/>
      <c r="C938" s="6"/>
      <c r="D938" s="11"/>
      <c r="E938" s="16"/>
      <c r="F938" s="16"/>
      <c r="G938" s="16"/>
      <c r="H938" s="9"/>
      <c r="I938" s="10"/>
    </row>
    <row r="939" spans="1:9" x14ac:dyDescent="0.25">
      <c r="A939" s="4">
        <v>936</v>
      </c>
      <c r="B939" s="5"/>
      <c r="C939" s="6"/>
      <c r="D939" s="11"/>
      <c r="E939" s="16"/>
      <c r="F939" s="16"/>
      <c r="G939" s="16"/>
      <c r="H939" s="9"/>
      <c r="I939" s="10"/>
    </row>
    <row r="940" spans="1:9" x14ac:dyDescent="0.25">
      <c r="A940" s="4">
        <v>937</v>
      </c>
      <c r="B940" s="5"/>
      <c r="C940" s="6"/>
      <c r="D940" s="11"/>
      <c r="E940" s="16"/>
      <c r="F940" s="16"/>
      <c r="G940" s="16"/>
      <c r="H940" s="9"/>
      <c r="I940" s="10"/>
    </row>
    <row r="941" spans="1:9" x14ac:dyDescent="0.25">
      <c r="A941" s="4">
        <v>938</v>
      </c>
      <c r="B941" s="5"/>
      <c r="C941" s="6"/>
      <c r="D941" s="11"/>
      <c r="E941" s="16"/>
      <c r="F941" s="16"/>
      <c r="G941" s="16"/>
      <c r="H941" s="9"/>
      <c r="I941" s="10"/>
    </row>
    <row r="942" spans="1:9" x14ac:dyDescent="0.25">
      <c r="A942" s="4">
        <v>939</v>
      </c>
      <c r="B942" s="5"/>
      <c r="C942" s="6"/>
      <c r="D942" s="11"/>
      <c r="E942" s="16"/>
      <c r="F942" s="16"/>
      <c r="G942" s="16"/>
      <c r="H942" s="9"/>
      <c r="I942" s="10"/>
    </row>
    <row r="943" spans="1:9" x14ac:dyDescent="0.25">
      <c r="A943" s="4">
        <v>940</v>
      </c>
      <c r="B943" s="5"/>
      <c r="C943" s="6"/>
      <c r="D943" s="11"/>
      <c r="E943" s="16"/>
      <c r="F943" s="16"/>
      <c r="G943" s="16"/>
      <c r="H943" s="9"/>
      <c r="I943" s="10"/>
    </row>
    <row r="944" spans="1:9" x14ac:dyDescent="0.25">
      <c r="A944" s="4">
        <v>941</v>
      </c>
      <c r="B944" s="5"/>
      <c r="C944" s="6"/>
      <c r="D944" s="11"/>
      <c r="E944" s="16"/>
      <c r="F944" s="16"/>
      <c r="G944" s="16"/>
      <c r="H944" s="9"/>
      <c r="I944" s="10"/>
    </row>
    <row r="945" spans="1:9" x14ac:dyDescent="0.25">
      <c r="A945" s="4">
        <v>942</v>
      </c>
      <c r="B945" s="5"/>
      <c r="C945" s="6"/>
      <c r="D945" s="11"/>
      <c r="E945" s="16"/>
      <c r="F945" s="16"/>
      <c r="G945" s="16"/>
      <c r="H945" s="9"/>
      <c r="I945" s="10"/>
    </row>
    <row r="946" spans="1:9" x14ac:dyDescent="0.25">
      <c r="A946" s="4">
        <v>943</v>
      </c>
      <c r="B946" s="5"/>
      <c r="C946" s="6"/>
      <c r="D946" s="11"/>
      <c r="E946" s="16"/>
      <c r="F946" s="16"/>
      <c r="G946" s="16"/>
      <c r="H946" s="9"/>
      <c r="I946" s="10"/>
    </row>
    <row r="947" spans="1:9" x14ac:dyDescent="0.25">
      <c r="A947" s="4">
        <v>944</v>
      </c>
      <c r="B947" s="5"/>
      <c r="C947" s="6"/>
      <c r="D947" s="11"/>
      <c r="E947" s="16"/>
      <c r="F947" s="16"/>
      <c r="G947" s="16"/>
      <c r="H947" s="9"/>
      <c r="I947" s="10"/>
    </row>
    <row r="948" spans="1:9" x14ac:dyDescent="0.25">
      <c r="A948" s="4">
        <v>945</v>
      </c>
      <c r="B948" s="5"/>
      <c r="C948" s="6"/>
      <c r="D948" s="11"/>
      <c r="E948" s="16"/>
      <c r="F948" s="16"/>
      <c r="G948" s="16"/>
      <c r="H948" s="9"/>
      <c r="I948" s="10"/>
    </row>
    <row r="949" spans="1:9" x14ac:dyDescent="0.25">
      <c r="A949" s="4">
        <v>946</v>
      </c>
      <c r="B949" s="5"/>
      <c r="C949" s="6"/>
      <c r="D949" s="11"/>
      <c r="E949" s="16"/>
      <c r="F949" s="16"/>
      <c r="G949" s="16"/>
      <c r="H949" s="9"/>
      <c r="I949" s="10"/>
    </row>
    <row r="950" spans="1:9" x14ac:dyDescent="0.25">
      <c r="A950" s="4">
        <v>947</v>
      </c>
      <c r="B950" s="5"/>
      <c r="C950" s="6"/>
      <c r="D950" s="11"/>
      <c r="E950" s="16"/>
      <c r="F950" s="16"/>
      <c r="G950" s="16"/>
      <c r="H950" s="9"/>
      <c r="I950" s="10"/>
    </row>
    <row r="951" spans="1:9" x14ac:dyDescent="0.25">
      <c r="A951" s="4">
        <v>948</v>
      </c>
      <c r="B951" s="5"/>
      <c r="C951" s="6"/>
      <c r="D951" s="11"/>
      <c r="E951" s="16"/>
      <c r="F951" s="16"/>
      <c r="G951" s="16"/>
      <c r="H951" s="9"/>
      <c r="I951" s="10"/>
    </row>
    <row r="952" spans="1:9" x14ac:dyDescent="0.25">
      <c r="A952" s="4">
        <v>949</v>
      </c>
      <c r="B952" s="5"/>
      <c r="C952" s="6"/>
      <c r="D952" s="11"/>
      <c r="E952" s="16"/>
      <c r="F952" s="16"/>
      <c r="G952" s="16"/>
      <c r="H952" s="9"/>
      <c r="I952" s="10"/>
    </row>
    <row r="953" spans="1:9" x14ac:dyDescent="0.25">
      <c r="A953" s="4">
        <v>950</v>
      </c>
      <c r="B953" s="5"/>
      <c r="C953" s="6"/>
      <c r="D953" s="11"/>
      <c r="E953" s="16"/>
      <c r="F953" s="16"/>
      <c r="G953" s="16"/>
      <c r="H953" s="9"/>
      <c r="I953" s="10"/>
    </row>
    <row r="954" spans="1:9" x14ac:dyDescent="0.25">
      <c r="A954" s="4">
        <v>951</v>
      </c>
      <c r="B954" s="5"/>
      <c r="C954" s="6"/>
      <c r="D954" s="11"/>
      <c r="E954" s="16"/>
      <c r="F954" s="16"/>
      <c r="G954" s="16"/>
      <c r="H954" s="9"/>
      <c r="I954" s="10"/>
    </row>
    <row r="955" spans="1:9" x14ac:dyDescent="0.25">
      <c r="A955" s="4">
        <v>952</v>
      </c>
      <c r="B955" s="5"/>
      <c r="C955" s="6"/>
      <c r="D955" s="11"/>
      <c r="E955" s="16"/>
      <c r="F955" s="16"/>
      <c r="G955" s="16"/>
      <c r="H955" s="9"/>
      <c r="I955" s="10"/>
    </row>
    <row r="956" spans="1:9" x14ac:dyDescent="0.25">
      <c r="A956" s="4">
        <v>953</v>
      </c>
      <c r="B956" s="5"/>
      <c r="C956" s="6"/>
      <c r="D956" s="11"/>
      <c r="E956" s="16"/>
      <c r="F956" s="16"/>
      <c r="G956" s="16"/>
      <c r="H956" s="9"/>
      <c r="I956" s="10"/>
    </row>
    <row r="957" spans="1:9" x14ac:dyDescent="0.25">
      <c r="A957" s="4">
        <v>954</v>
      </c>
      <c r="B957" s="5"/>
      <c r="C957" s="6"/>
      <c r="D957" s="11"/>
      <c r="E957" s="16"/>
      <c r="F957" s="16"/>
      <c r="G957" s="16"/>
      <c r="H957" s="9"/>
      <c r="I957" s="10"/>
    </row>
    <row r="958" spans="1:9" x14ac:dyDescent="0.25">
      <c r="A958" s="4">
        <v>955</v>
      </c>
      <c r="B958" s="5"/>
      <c r="C958" s="6"/>
      <c r="D958" s="11"/>
      <c r="E958" s="16"/>
      <c r="F958" s="16"/>
      <c r="G958" s="16"/>
      <c r="H958" s="9"/>
      <c r="I958" s="10"/>
    </row>
    <row r="959" spans="1:9" x14ac:dyDescent="0.25">
      <c r="A959" s="4">
        <v>956</v>
      </c>
      <c r="B959" s="5"/>
      <c r="C959" s="6"/>
      <c r="D959" s="11"/>
      <c r="E959" s="16"/>
      <c r="F959" s="16"/>
      <c r="G959" s="16"/>
      <c r="H959" s="9"/>
      <c r="I959" s="10"/>
    </row>
    <row r="960" spans="1:9" x14ac:dyDescent="0.25">
      <c r="A960" s="4">
        <v>957</v>
      </c>
      <c r="B960" s="5"/>
      <c r="C960" s="6"/>
      <c r="D960" s="11"/>
      <c r="E960" s="16"/>
      <c r="F960" s="16"/>
      <c r="G960" s="16"/>
      <c r="H960" s="9"/>
      <c r="I960" s="10"/>
    </row>
    <row r="961" spans="1:9" x14ac:dyDescent="0.25">
      <c r="A961" s="4">
        <v>958</v>
      </c>
      <c r="B961" s="5"/>
      <c r="C961" s="6"/>
      <c r="D961" s="11"/>
      <c r="E961" s="16"/>
      <c r="F961" s="16"/>
      <c r="G961" s="16"/>
      <c r="H961" s="9"/>
      <c r="I961" s="10"/>
    </row>
    <row r="962" spans="1:9" x14ac:dyDescent="0.25">
      <c r="A962" s="4">
        <v>959</v>
      </c>
      <c r="B962" s="5"/>
      <c r="C962" s="6"/>
      <c r="D962" s="11"/>
      <c r="E962" s="16"/>
      <c r="F962" s="16"/>
      <c r="G962" s="16"/>
      <c r="H962" s="9"/>
      <c r="I962" s="10"/>
    </row>
    <row r="963" spans="1:9" x14ac:dyDescent="0.25">
      <c r="A963" s="4">
        <v>960</v>
      </c>
      <c r="B963" s="5"/>
      <c r="C963" s="6"/>
      <c r="D963" s="11"/>
      <c r="E963" s="16"/>
      <c r="F963" s="16"/>
      <c r="G963" s="16"/>
      <c r="H963" s="9"/>
      <c r="I963" s="10"/>
    </row>
    <row r="964" spans="1:9" x14ac:dyDescent="0.25">
      <c r="A964" s="4">
        <v>961</v>
      </c>
      <c r="B964" s="5"/>
      <c r="C964" s="6"/>
      <c r="D964" s="11"/>
      <c r="E964" s="16"/>
      <c r="F964" s="16"/>
      <c r="G964" s="16"/>
      <c r="H964" s="9"/>
      <c r="I964" s="10"/>
    </row>
    <row r="965" spans="1:9" x14ac:dyDescent="0.25">
      <c r="A965" s="4">
        <v>962</v>
      </c>
      <c r="B965" s="5"/>
      <c r="C965" s="6"/>
      <c r="D965" s="11"/>
      <c r="E965" s="16"/>
      <c r="F965" s="16"/>
      <c r="G965" s="16"/>
      <c r="H965" s="9"/>
      <c r="I965" s="10"/>
    </row>
    <row r="966" spans="1:9" x14ac:dyDescent="0.25">
      <c r="A966" s="4">
        <v>963</v>
      </c>
      <c r="B966" s="5"/>
      <c r="C966" s="6"/>
      <c r="D966" s="11"/>
      <c r="E966" s="16"/>
      <c r="F966" s="16"/>
      <c r="G966" s="16"/>
      <c r="H966" s="9"/>
      <c r="I966" s="10"/>
    </row>
    <row r="967" spans="1:9" x14ac:dyDescent="0.25">
      <c r="A967" s="4">
        <v>964</v>
      </c>
      <c r="B967" s="5"/>
      <c r="C967" s="6"/>
      <c r="D967" s="11"/>
      <c r="E967" s="16"/>
      <c r="F967" s="16"/>
      <c r="G967" s="16"/>
      <c r="H967" s="9"/>
      <c r="I967" s="10"/>
    </row>
    <row r="968" spans="1:9" x14ac:dyDescent="0.25">
      <c r="A968" s="4">
        <v>965</v>
      </c>
      <c r="B968" s="5"/>
      <c r="C968" s="6"/>
      <c r="D968" s="11"/>
      <c r="E968" s="16"/>
      <c r="F968" s="16"/>
      <c r="G968" s="16"/>
      <c r="H968" s="9"/>
      <c r="I968" s="10"/>
    </row>
    <row r="969" spans="1:9" x14ac:dyDescent="0.25">
      <c r="A969" s="4">
        <v>966</v>
      </c>
      <c r="B969" s="5"/>
      <c r="C969" s="6"/>
      <c r="D969" s="11"/>
      <c r="E969" s="16"/>
      <c r="F969" s="16"/>
      <c r="G969" s="16"/>
      <c r="H969" s="9"/>
      <c r="I969" s="10"/>
    </row>
    <row r="970" spans="1:9" x14ac:dyDescent="0.25">
      <c r="A970" s="4">
        <v>967</v>
      </c>
      <c r="B970" s="5"/>
      <c r="C970" s="6"/>
      <c r="D970" s="11"/>
      <c r="E970" s="16"/>
      <c r="F970" s="16"/>
      <c r="G970" s="16"/>
      <c r="H970" s="9"/>
      <c r="I970" s="10"/>
    </row>
    <row r="971" spans="1:9" x14ac:dyDescent="0.25">
      <c r="A971" s="4">
        <v>968</v>
      </c>
      <c r="B971" s="5"/>
      <c r="C971" s="6"/>
      <c r="D971" s="11"/>
      <c r="E971" s="16"/>
      <c r="F971" s="16"/>
      <c r="G971" s="16"/>
      <c r="H971" s="9"/>
      <c r="I971" s="10"/>
    </row>
    <row r="972" spans="1:9" x14ac:dyDescent="0.25">
      <c r="A972" s="4">
        <v>969</v>
      </c>
      <c r="B972" s="5"/>
      <c r="C972" s="6"/>
      <c r="D972" s="11"/>
      <c r="E972" s="16"/>
      <c r="F972" s="16"/>
      <c r="G972" s="16"/>
      <c r="H972" s="9"/>
      <c r="I972" s="10"/>
    </row>
    <row r="973" spans="1:9" x14ac:dyDescent="0.25">
      <c r="A973" s="4">
        <v>970</v>
      </c>
      <c r="B973" s="5"/>
      <c r="C973" s="6"/>
      <c r="D973" s="11"/>
      <c r="E973" s="16"/>
      <c r="F973" s="16"/>
      <c r="G973" s="16"/>
      <c r="H973" s="9"/>
      <c r="I973" s="10"/>
    </row>
    <row r="974" spans="1:9" x14ac:dyDescent="0.25">
      <c r="A974" s="4">
        <v>971</v>
      </c>
      <c r="B974" s="5"/>
      <c r="C974" s="6"/>
      <c r="D974" s="11"/>
      <c r="E974" s="16"/>
      <c r="F974" s="16"/>
      <c r="G974" s="16"/>
      <c r="H974" s="9"/>
      <c r="I974" s="10"/>
    </row>
    <row r="975" spans="1:9" x14ac:dyDescent="0.25">
      <c r="A975" s="4">
        <v>972</v>
      </c>
      <c r="B975" s="5"/>
      <c r="C975" s="6"/>
      <c r="D975" s="11"/>
      <c r="E975" s="16"/>
      <c r="F975" s="16"/>
      <c r="G975" s="16"/>
      <c r="H975" s="9"/>
      <c r="I975" s="10"/>
    </row>
    <row r="976" spans="1:9" x14ac:dyDescent="0.25">
      <c r="A976" s="4">
        <v>973</v>
      </c>
      <c r="B976" s="5"/>
      <c r="C976" s="6"/>
      <c r="D976" s="11"/>
      <c r="E976" s="16"/>
      <c r="F976" s="16"/>
      <c r="G976" s="16"/>
      <c r="H976" s="9"/>
      <c r="I976" s="10"/>
    </row>
    <row r="977" spans="1:9" x14ac:dyDescent="0.25">
      <c r="A977" s="4">
        <v>974</v>
      </c>
      <c r="B977" s="5"/>
      <c r="C977" s="6"/>
      <c r="D977" s="11"/>
      <c r="E977" s="16"/>
      <c r="F977" s="16"/>
      <c r="G977" s="16"/>
      <c r="H977" s="9"/>
      <c r="I977" s="10"/>
    </row>
    <row r="978" spans="1:9" x14ac:dyDescent="0.25">
      <c r="A978" s="4">
        <v>975</v>
      </c>
      <c r="B978" s="5"/>
      <c r="C978" s="6"/>
      <c r="D978" s="11"/>
      <c r="E978" s="16"/>
      <c r="F978" s="16"/>
      <c r="G978" s="16"/>
      <c r="H978" s="9"/>
      <c r="I978" s="10"/>
    </row>
    <row r="979" spans="1:9" x14ac:dyDescent="0.25">
      <c r="A979" s="4">
        <v>976</v>
      </c>
      <c r="B979" s="5"/>
      <c r="C979" s="6"/>
      <c r="D979" s="11"/>
      <c r="E979" s="16"/>
      <c r="F979" s="16"/>
      <c r="G979" s="16"/>
      <c r="H979" s="9"/>
      <c r="I979" s="10"/>
    </row>
    <row r="980" spans="1:9" x14ac:dyDescent="0.25">
      <c r="A980" s="4">
        <v>977</v>
      </c>
      <c r="B980" s="5"/>
      <c r="C980" s="6"/>
      <c r="D980" s="11"/>
      <c r="E980" s="16"/>
      <c r="F980" s="16"/>
      <c r="G980" s="16"/>
      <c r="H980" s="9"/>
      <c r="I980" s="10"/>
    </row>
    <row r="981" spans="1:9" x14ac:dyDescent="0.25">
      <c r="A981" s="4">
        <v>978</v>
      </c>
      <c r="B981" s="5"/>
      <c r="C981" s="6"/>
      <c r="D981" s="11"/>
      <c r="E981" s="16"/>
      <c r="F981" s="16"/>
      <c r="G981" s="16"/>
      <c r="H981" s="9"/>
      <c r="I981" s="10"/>
    </row>
    <row r="982" spans="1:9" x14ac:dyDescent="0.25">
      <c r="A982" s="4">
        <v>979</v>
      </c>
      <c r="B982" s="5"/>
      <c r="C982" s="6"/>
      <c r="D982" s="11"/>
      <c r="E982" s="16"/>
      <c r="F982" s="16"/>
      <c r="G982" s="16"/>
      <c r="H982" s="9"/>
      <c r="I982" s="10"/>
    </row>
    <row r="983" spans="1:9" x14ac:dyDescent="0.25">
      <c r="A983" s="4">
        <v>980</v>
      </c>
      <c r="B983" s="5"/>
      <c r="C983" s="6"/>
      <c r="D983" s="11"/>
      <c r="E983" s="16"/>
      <c r="F983" s="16"/>
      <c r="G983" s="16"/>
      <c r="H983" s="9"/>
      <c r="I983" s="10"/>
    </row>
    <row r="984" spans="1:9" x14ac:dyDescent="0.25">
      <c r="A984" s="4">
        <v>981</v>
      </c>
      <c r="B984" s="5"/>
      <c r="C984" s="6"/>
      <c r="D984" s="11"/>
      <c r="E984" s="16"/>
      <c r="F984" s="16"/>
      <c r="G984" s="16"/>
      <c r="H984" s="9"/>
      <c r="I984" s="10"/>
    </row>
    <row r="985" spans="1:9" x14ac:dyDescent="0.25">
      <c r="A985" s="4">
        <v>982</v>
      </c>
      <c r="B985" s="5"/>
      <c r="C985" s="6"/>
      <c r="D985" s="11"/>
      <c r="E985" s="16"/>
      <c r="F985" s="16"/>
      <c r="G985" s="16"/>
      <c r="H985" s="9"/>
      <c r="I985" s="10"/>
    </row>
    <row r="986" spans="1:9" x14ac:dyDescent="0.25">
      <c r="A986" s="4">
        <v>983</v>
      </c>
      <c r="B986" s="5"/>
      <c r="C986" s="6"/>
      <c r="D986" s="11"/>
      <c r="E986" s="16"/>
      <c r="F986" s="16"/>
      <c r="G986" s="16"/>
      <c r="H986" s="9"/>
      <c r="I986" s="10"/>
    </row>
    <row r="987" spans="1:9" x14ac:dyDescent="0.25">
      <c r="A987" s="4">
        <v>984</v>
      </c>
      <c r="B987" s="5"/>
      <c r="C987" s="6"/>
      <c r="D987" s="11"/>
      <c r="E987" s="16"/>
      <c r="F987" s="16"/>
      <c r="G987" s="16"/>
      <c r="H987" s="9"/>
      <c r="I987" s="10"/>
    </row>
    <row r="988" spans="1:9" x14ac:dyDescent="0.25">
      <c r="A988" s="4">
        <v>985</v>
      </c>
      <c r="B988" s="5"/>
      <c r="C988" s="6"/>
      <c r="D988" s="11"/>
      <c r="E988" s="16"/>
      <c r="F988" s="16"/>
      <c r="G988" s="16"/>
      <c r="H988" s="9"/>
      <c r="I988" s="10"/>
    </row>
    <row r="989" spans="1:9" x14ac:dyDescent="0.25">
      <c r="A989" s="4">
        <v>986</v>
      </c>
      <c r="B989" s="5"/>
      <c r="C989" s="6"/>
      <c r="D989" s="11"/>
      <c r="E989" s="16"/>
      <c r="F989" s="16"/>
      <c r="G989" s="16"/>
      <c r="H989" s="9"/>
      <c r="I989" s="10"/>
    </row>
    <row r="990" spans="1:9" x14ac:dyDescent="0.25">
      <c r="A990" s="4">
        <v>987</v>
      </c>
      <c r="B990" s="5"/>
      <c r="C990" s="6"/>
      <c r="D990" s="11"/>
      <c r="E990" s="16"/>
      <c r="F990" s="16"/>
      <c r="G990" s="16"/>
      <c r="H990" s="9"/>
      <c r="I990" s="10"/>
    </row>
    <row r="991" spans="1:9" x14ac:dyDescent="0.25">
      <c r="A991" s="4">
        <v>988</v>
      </c>
      <c r="B991" s="5"/>
      <c r="C991" s="6"/>
      <c r="D991" s="11"/>
      <c r="E991" s="16"/>
      <c r="F991" s="16"/>
      <c r="G991" s="16"/>
      <c r="H991" s="9"/>
      <c r="I991" s="10"/>
    </row>
    <row r="992" spans="1:9" x14ac:dyDescent="0.25">
      <c r="A992" s="4">
        <v>989</v>
      </c>
      <c r="B992" s="5"/>
      <c r="C992" s="6"/>
      <c r="D992" s="11"/>
      <c r="E992" s="16"/>
      <c r="F992" s="16"/>
      <c r="G992" s="16"/>
      <c r="H992" s="9"/>
      <c r="I992" s="10"/>
    </row>
    <row r="993" spans="1:9" x14ac:dyDescent="0.25">
      <c r="A993" s="4">
        <v>990</v>
      </c>
      <c r="B993" s="5"/>
      <c r="C993" s="6"/>
      <c r="D993" s="11"/>
      <c r="E993" s="16"/>
      <c r="F993" s="16"/>
      <c r="G993" s="16"/>
      <c r="H993" s="9"/>
      <c r="I993" s="10"/>
    </row>
    <row r="994" spans="1:9" x14ac:dyDescent="0.25">
      <c r="A994" s="4">
        <v>991</v>
      </c>
      <c r="B994" s="5"/>
      <c r="C994" s="6"/>
      <c r="D994" s="11"/>
      <c r="E994" s="16"/>
      <c r="F994" s="16"/>
      <c r="G994" s="16"/>
      <c r="H994" s="9"/>
      <c r="I994" s="10"/>
    </row>
    <row r="995" spans="1:9" x14ac:dyDescent="0.25">
      <c r="A995" s="4">
        <v>992</v>
      </c>
      <c r="B995" s="5"/>
      <c r="C995" s="6"/>
      <c r="D995" s="11"/>
      <c r="E995" s="16"/>
      <c r="F995" s="16"/>
      <c r="G995" s="16"/>
      <c r="H995" s="9"/>
      <c r="I995" s="10"/>
    </row>
    <row r="996" spans="1:9" x14ac:dyDescent="0.25">
      <c r="A996" s="4">
        <v>993</v>
      </c>
      <c r="B996" s="5"/>
      <c r="C996" s="6"/>
      <c r="D996" s="11"/>
      <c r="E996" s="16"/>
      <c r="F996" s="16"/>
      <c r="G996" s="16"/>
      <c r="H996" s="9"/>
      <c r="I996" s="10"/>
    </row>
    <row r="997" spans="1:9" x14ac:dyDescent="0.25">
      <c r="A997" s="4">
        <v>994</v>
      </c>
      <c r="B997" s="5"/>
      <c r="C997" s="6"/>
      <c r="D997" s="11"/>
      <c r="E997" s="16"/>
      <c r="F997" s="16"/>
      <c r="G997" s="16"/>
      <c r="H997" s="9"/>
      <c r="I997" s="10"/>
    </row>
    <row r="998" spans="1:9" x14ac:dyDescent="0.25">
      <c r="A998" s="4">
        <v>995</v>
      </c>
      <c r="B998" s="5"/>
      <c r="C998" s="6"/>
      <c r="D998" s="11"/>
      <c r="E998" s="16"/>
      <c r="F998" s="16"/>
      <c r="G998" s="16"/>
      <c r="H998" s="9"/>
      <c r="I998" s="10"/>
    </row>
    <row r="999" spans="1:9" x14ac:dyDescent="0.25">
      <c r="A999" s="4">
        <v>996</v>
      </c>
      <c r="B999" s="5"/>
      <c r="C999" s="6"/>
      <c r="D999" s="11"/>
      <c r="E999" s="16"/>
      <c r="F999" s="16"/>
      <c r="G999" s="16"/>
      <c r="H999" s="9"/>
      <c r="I999" s="10"/>
    </row>
    <row r="1000" spans="1:9" x14ac:dyDescent="0.25">
      <c r="A1000" s="4">
        <v>997</v>
      </c>
      <c r="B1000" s="5"/>
      <c r="C1000" s="6"/>
      <c r="D1000" s="11"/>
      <c r="E1000" s="16"/>
      <c r="F1000" s="16"/>
      <c r="G1000" s="16"/>
      <c r="H1000" s="9"/>
      <c r="I1000" s="10"/>
    </row>
    <row r="1001" spans="1:9" x14ac:dyDescent="0.25">
      <c r="A1001" s="4">
        <v>998</v>
      </c>
      <c r="B1001" s="5"/>
      <c r="C1001" s="6"/>
      <c r="D1001" s="11"/>
      <c r="E1001" s="16"/>
      <c r="F1001" s="16"/>
      <c r="G1001" s="16"/>
      <c r="H1001" s="9"/>
      <c r="I1001" s="10"/>
    </row>
    <row r="1002" spans="1:9" x14ac:dyDescent="0.25">
      <c r="A1002" s="4">
        <v>999</v>
      </c>
      <c r="B1002" s="5"/>
      <c r="C1002" s="6"/>
      <c r="D1002" s="11"/>
      <c r="E1002" s="16"/>
      <c r="F1002" s="16"/>
      <c r="G1002" s="16"/>
      <c r="H1002" s="9"/>
      <c r="I1002" s="10"/>
    </row>
    <row r="1003" spans="1:9" x14ac:dyDescent="0.25">
      <c r="A1003" s="4">
        <v>1000</v>
      </c>
      <c r="B1003" s="5"/>
      <c r="C1003" s="6"/>
      <c r="D1003" s="11"/>
      <c r="E1003" s="16"/>
      <c r="F1003" s="16"/>
      <c r="G1003" s="16"/>
      <c r="H1003" s="9"/>
      <c r="I1003" s="10"/>
    </row>
    <row r="1004" spans="1:9" x14ac:dyDescent="0.25">
      <c r="A1004" s="4">
        <v>1001</v>
      </c>
      <c r="B1004" s="5"/>
      <c r="C1004" s="6"/>
      <c r="D1004" s="11"/>
      <c r="E1004" s="16"/>
      <c r="F1004" s="16"/>
      <c r="G1004" s="16"/>
      <c r="H1004" s="9"/>
      <c r="I1004" s="10"/>
    </row>
    <row r="1005" spans="1:9" x14ac:dyDescent="0.25">
      <c r="A1005" s="4">
        <v>1002</v>
      </c>
      <c r="B1005" s="5"/>
      <c r="C1005" s="6"/>
      <c r="D1005" s="11"/>
      <c r="E1005" s="16"/>
      <c r="F1005" s="16"/>
      <c r="G1005" s="16"/>
      <c r="H1005" s="9"/>
      <c r="I1005" s="10"/>
    </row>
    <row r="1006" spans="1:9" x14ac:dyDescent="0.25">
      <c r="A1006" s="4">
        <v>1003</v>
      </c>
      <c r="B1006" s="5"/>
      <c r="C1006" s="6"/>
      <c r="D1006" s="11"/>
      <c r="E1006" s="16"/>
      <c r="F1006" s="16"/>
      <c r="G1006" s="16"/>
      <c r="H1006" s="9"/>
      <c r="I1006" s="10"/>
    </row>
    <row r="1007" spans="1:9" x14ac:dyDescent="0.25">
      <c r="A1007" s="4">
        <v>1004</v>
      </c>
      <c r="B1007" s="5"/>
      <c r="C1007" s="6"/>
      <c r="D1007" s="11"/>
      <c r="E1007" s="16"/>
      <c r="F1007" s="16"/>
      <c r="G1007" s="16"/>
      <c r="H1007" s="9"/>
      <c r="I1007" s="10"/>
    </row>
    <row r="1008" spans="1:9" x14ac:dyDescent="0.25">
      <c r="A1008" s="4">
        <v>1005</v>
      </c>
      <c r="B1008" s="5"/>
      <c r="C1008" s="6"/>
      <c r="D1008" s="11"/>
      <c r="E1008" s="16"/>
      <c r="F1008" s="16"/>
      <c r="G1008" s="16"/>
      <c r="H1008" s="9"/>
      <c r="I1008" s="10"/>
    </row>
    <row r="1009" spans="1:9" x14ac:dyDescent="0.25">
      <c r="A1009" s="4">
        <v>1006</v>
      </c>
      <c r="B1009" s="5"/>
      <c r="C1009" s="6"/>
      <c r="D1009" s="11"/>
      <c r="E1009" s="16"/>
      <c r="F1009" s="16"/>
      <c r="G1009" s="16"/>
      <c r="H1009" s="9"/>
      <c r="I1009" s="10"/>
    </row>
    <row r="1010" spans="1:9" x14ac:dyDescent="0.25">
      <c r="A1010" s="4">
        <v>1007</v>
      </c>
      <c r="B1010" s="5"/>
      <c r="C1010" s="6"/>
      <c r="D1010" s="11"/>
      <c r="E1010" s="16"/>
      <c r="F1010" s="16"/>
      <c r="G1010" s="16"/>
      <c r="H1010" s="9"/>
      <c r="I1010" s="10"/>
    </row>
    <row r="1011" spans="1:9" x14ac:dyDescent="0.25">
      <c r="A1011" s="4">
        <v>1008</v>
      </c>
      <c r="B1011" s="5"/>
      <c r="C1011" s="6"/>
      <c r="D1011" s="11"/>
      <c r="E1011" s="16"/>
      <c r="F1011" s="16"/>
      <c r="G1011" s="16"/>
      <c r="H1011" s="9"/>
      <c r="I1011" s="10"/>
    </row>
    <row r="1012" spans="1:9" x14ac:dyDescent="0.25">
      <c r="A1012" s="4">
        <v>1009</v>
      </c>
      <c r="B1012" s="5"/>
      <c r="C1012" s="6"/>
      <c r="D1012" s="11"/>
      <c r="E1012" s="16"/>
      <c r="F1012" s="16"/>
      <c r="G1012" s="16"/>
      <c r="H1012" s="9"/>
      <c r="I1012" s="10"/>
    </row>
    <row r="1013" spans="1:9" x14ac:dyDescent="0.25">
      <c r="A1013" s="4">
        <v>1010</v>
      </c>
      <c r="B1013" s="5"/>
      <c r="C1013" s="6"/>
      <c r="D1013" s="11"/>
      <c r="E1013" s="16"/>
      <c r="F1013" s="16"/>
      <c r="G1013" s="16"/>
      <c r="H1013" s="9"/>
      <c r="I1013" s="10"/>
    </row>
    <row r="1014" spans="1:9" x14ac:dyDescent="0.25">
      <c r="A1014" s="4">
        <v>1011</v>
      </c>
      <c r="B1014" s="5"/>
      <c r="C1014" s="6"/>
      <c r="D1014" s="11"/>
      <c r="E1014" s="16"/>
      <c r="F1014" s="16"/>
      <c r="G1014" s="16"/>
      <c r="H1014" s="9"/>
      <c r="I1014" s="10"/>
    </row>
    <row r="1015" spans="1:9" x14ac:dyDescent="0.25">
      <c r="A1015" s="4">
        <v>1012</v>
      </c>
      <c r="B1015" s="5"/>
      <c r="C1015" s="6"/>
      <c r="D1015" s="11"/>
      <c r="E1015" s="16"/>
      <c r="F1015" s="16"/>
      <c r="G1015" s="16"/>
      <c r="H1015" s="9"/>
      <c r="I1015" s="10"/>
    </row>
    <row r="1016" spans="1:9" x14ac:dyDescent="0.25">
      <c r="A1016" s="4">
        <v>1013</v>
      </c>
      <c r="B1016" s="5"/>
      <c r="C1016" s="6"/>
      <c r="D1016" s="11"/>
      <c r="E1016" s="16"/>
      <c r="F1016" s="16"/>
      <c r="G1016" s="16"/>
      <c r="H1016" s="9"/>
      <c r="I1016" s="10"/>
    </row>
    <row r="1017" spans="1:9" x14ac:dyDescent="0.25">
      <c r="A1017" s="4">
        <v>1014</v>
      </c>
      <c r="B1017" s="5"/>
      <c r="C1017" s="6"/>
      <c r="D1017" s="11"/>
      <c r="E1017" s="16"/>
      <c r="F1017" s="16"/>
      <c r="G1017" s="16"/>
      <c r="H1017" s="9"/>
      <c r="I1017" s="10"/>
    </row>
    <row r="1018" spans="1:9" x14ac:dyDescent="0.25">
      <c r="A1018" s="4">
        <v>1015</v>
      </c>
      <c r="B1018" s="5"/>
      <c r="C1018" s="6"/>
      <c r="D1018" s="11"/>
      <c r="E1018" s="16"/>
      <c r="F1018" s="16"/>
      <c r="G1018" s="16"/>
      <c r="H1018" s="9"/>
      <c r="I1018" s="10"/>
    </row>
    <row r="1019" spans="1:9" x14ac:dyDescent="0.25">
      <c r="A1019" s="4">
        <v>1016</v>
      </c>
      <c r="B1019" s="5"/>
      <c r="C1019" s="6"/>
      <c r="D1019" s="11"/>
      <c r="E1019" s="16"/>
      <c r="F1019" s="16"/>
      <c r="G1019" s="16"/>
      <c r="H1019" s="9"/>
      <c r="I1019" s="10"/>
    </row>
    <row r="1020" spans="1:9" x14ac:dyDescent="0.25">
      <c r="A1020" s="4">
        <v>1017</v>
      </c>
      <c r="B1020" s="5"/>
      <c r="C1020" s="6"/>
      <c r="D1020" s="11"/>
      <c r="E1020" s="16"/>
      <c r="F1020" s="16"/>
      <c r="G1020" s="16"/>
      <c r="H1020" s="9"/>
      <c r="I1020" s="10"/>
    </row>
    <row r="1021" spans="1:9" x14ac:dyDescent="0.25">
      <c r="A1021" s="4">
        <v>1018</v>
      </c>
      <c r="B1021" s="5"/>
      <c r="C1021" s="6"/>
      <c r="D1021" s="11"/>
      <c r="E1021" s="16"/>
      <c r="F1021" s="16"/>
      <c r="G1021" s="16"/>
      <c r="H1021" s="9"/>
      <c r="I1021" s="10"/>
    </row>
    <row r="1022" spans="1:9" x14ac:dyDescent="0.25">
      <c r="A1022" s="4">
        <v>1019</v>
      </c>
      <c r="B1022" s="5"/>
      <c r="C1022" s="6"/>
      <c r="D1022" s="11"/>
      <c r="E1022" s="16"/>
      <c r="F1022" s="16"/>
      <c r="G1022" s="16"/>
      <c r="H1022" s="9"/>
      <c r="I1022" s="10"/>
    </row>
    <row r="1023" spans="1:9" x14ac:dyDescent="0.25">
      <c r="A1023" s="4">
        <v>1020</v>
      </c>
      <c r="B1023" s="5"/>
      <c r="C1023" s="6"/>
      <c r="D1023" s="11"/>
      <c r="E1023" s="16"/>
      <c r="F1023" s="16"/>
      <c r="G1023" s="16"/>
      <c r="H1023" s="9"/>
      <c r="I1023" s="10"/>
    </row>
    <row r="1024" spans="1:9" x14ac:dyDescent="0.25">
      <c r="A1024" s="4">
        <v>1021</v>
      </c>
      <c r="B1024" s="5"/>
      <c r="C1024" s="6"/>
      <c r="D1024" s="11"/>
      <c r="E1024" s="16"/>
      <c r="F1024" s="16"/>
      <c r="G1024" s="16"/>
      <c r="H1024" s="9"/>
      <c r="I1024" s="10"/>
    </row>
    <row r="1025" spans="1:9" x14ac:dyDescent="0.25">
      <c r="A1025" s="4">
        <v>1022</v>
      </c>
      <c r="B1025" s="5"/>
      <c r="C1025" s="6"/>
      <c r="D1025" s="11"/>
      <c r="E1025" s="16"/>
      <c r="F1025" s="16"/>
      <c r="G1025" s="16"/>
      <c r="H1025" s="9"/>
      <c r="I1025" s="10"/>
    </row>
    <row r="1026" spans="1:9" x14ac:dyDescent="0.25">
      <c r="A1026" s="4">
        <v>1023</v>
      </c>
      <c r="B1026" s="5"/>
      <c r="C1026" s="6"/>
      <c r="D1026" s="11"/>
      <c r="E1026" s="16"/>
      <c r="F1026" s="16"/>
      <c r="G1026" s="16"/>
      <c r="H1026" s="9"/>
      <c r="I1026" s="10"/>
    </row>
    <row r="1027" spans="1:9" x14ac:dyDescent="0.25">
      <c r="A1027" s="4">
        <v>1024</v>
      </c>
      <c r="B1027" s="5"/>
      <c r="C1027" s="6"/>
      <c r="D1027" s="11"/>
      <c r="E1027" s="16"/>
      <c r="F1027" s="16"/>
      <c r="G1027" s="16"/>
      <c r="H1027" s="9"/>
      <c r="I1027" s="10"/>
    </row>
    <row r="1028" spans="1:9" x14ac:dyDescent="0.25">
      <c r="A1028" s="4">
        <v>1025</v>
      </c>
      <c r="B1028" s="5"/>
      <c r="C1028" s="6"/>
      <c r="D1028" s="11"/>
      <c r="E1028" s="16"/>
      <c r="F1028" s="16"/>
      <c r="G1028" s="16"/>
      <c r="H1028" s="9"/>
      <c r="I1028" s="10"/>
    </row>
    <row r="1029" spans="1:9" x14ac:dyDescent="0.25">
      <c r="A1029" s="4">
        <v>1026</v>
      </c>
      <c r="B1029" s="5"/>
      <c r="C1029" s="6"/>
      <c r="D1029" s="11"/>
      <c r="E1029" s="16"/>
      <c r="F1029" s="16"/>
      <c r="G1029" s="16"/>
      <c r="H1029" s="9"/>
      <c r="I1029" s="10"/>
    </row>
    <row r="1030" spans="1:9" x14ac:dyDescent="0.25">
      <c r="A1030" s="4">
        <v>1027</v>
      </c>
      <c r="B1030" s="5"/>
      <c r="C1030" s="6"/>
      <c r="D1030" s="11"/>
      <c r="E1030" s="16"/>
      <c r="F1030" s="16"/>
      <c r="G1030" s="16"/>
      <c r="H1030" s="9"/>
      <c r="I1030" s="10"/>
    </row>
    <row r="1031" spans="1:9" x14ac:dyDescent="0.25">
      <c r="A1031" s="4">
        <v>1028</v>
      </c>
      <c r="B1031" s="5"/>
      <c r="C1031" s="6"/>
      <c r="D1031" s="11"/>
      <c r="E1031" s="16"/>
      <c r="F1031" s="16"/>
      <c r="G1031" s="16"/>
      <c r="H1031" s="9"/>
      <c r="I1031" s="10"/>
    </row>
    <row r="1032" spans="1:9" x14ac:dyDescent="0.25">
      <c r="A1032" s="4">
        <v>1029</v>
      </c>
      <c r="B1032" s="5"/>
      <c r="C1032" s="6"/>
      <c r="D1032" s="11"/>
      <c r="E1032" s="16"/>
      <c r="F1032" s="16"/>
      <c r="G1032" s="16"/>
      <c r="H1032" s="9"/>
      <c r="I1032" s="10"/>
    </row>
    <row r="1033" spans="1:9" x14ac:dyDescent="0.25">
      <c r="A1033" s="4">
        <v>1030</v>
      </c>
      <c r="B1033" s="5"/>
      <c r="C1033" s="6"/>
      <c r="D1033" s="11"/>
      <c r="E1033" s="16"/>
      <c r="F1033" s="16"/>
      <c r="G1033" s="16"/>
      <c r="H1033" s="9"/>
      <c r="I1033" s="10"/>
    </row>
    <row r="1034" spans="1:9" x14ac:dyDescent="0.25">
      <c r="A1034" s="4">
        <v>1031</v>
      </c>
      <c r="B1034" s="5"/>
      <c r="C1034" s="6"/>
      <c r="D1034" s="11"/>
      <c r="E1034" s="16"/>
      <c r="F1034" s="16"/>
      <c r="G1034" s="16"/>
      <c r="H1034" s="9"/>
      <c r="I1034" s="10"/>
    </row>
    <row r="1035" spans="1:9" x14ac:dyDescent="0.25">
      <c r="A1035" s="4">
        <v>1032</v>
      </c>
      <c r="B1035" s="5"/>
      <c r="C1035" s="6"/>
      <c r="D1035" s="11"/>
      <c r="E1035" s="16"/>
      <c r="F1035" s="16"/>
      <c r="G1035" s="16"/>
      <c r="H1035" s="9"/>
      <c r="I1035" s="10"/>
    </row>
    <row r="1036" spans="1:9" x14ac:dyDescent="0.25">
      <c r="A1036" s="4">
        <v>1033</v>
      </c>
      <c r="B1036" s="5"/>
      <c r="C1036" s="6"/>
      <c r="D1036" s="11"/>
      <c r="E1036" s="16"/>
      <c r="F1036" s="16"/>
      <c r="G1036" s="16"/>
      <c r="H1036" s="9"/>
      <c r="I1036" s="10"/>
    </row>
    <row r="1037" spans="1:9" x14ac:dyDescent="0.25">
      <c r="A1037" s="4">
        <v>1034</v>
      </c>
      <c r="B1037" s="5"/>
      <c r="C1037" s="6"/>
      <c r="D1037" s="11"/>
      <c r="E1037" s="16"/>
      <c r="F1037" s="16"/>
      <c r="G1037" s="16"/>
      <c r="H1037" s="9"/>
      <c r="I1037" s="10"/>
    </row>
    <row r="1038" spans="1:9" x14ac:dyDescent="0.25">
      <c r="A1038" s="4">
        <v>1035</v>
      </c>
      <c r="B1038" s="5"/>
      <c r="C1038" s="6"/>
      <c r="D1038" s="11"/>
      <c r="E1038" s="16"/>
      <c r="F1038" s="16"/>
      <c r="G1038" s="16"/>
      <c r="H1038" s="9"/>
      <c r="I1038" s="10"/>
    </row>
    <row r="1039" spans="1:9" x14ac:dyDescent="0.25">
      <c r="A1039" s="4">
        <v>1036</v>
      </c>
      <c r="B1039" s="5"/>
      <c r="C1039" s="6"/>
      <c r="D1039" s="11"/>
      <c r="E1039" s="16"/>
      <c r="F1039" s="16"/>
      <c r="G1039" s="16"/>
      <c r="H1039" s="9"/>
      <c r="I1039" s="10"/>
    </row>
    <row r="1040" spans="1:9" x14ac:dyDescent="0.25">
      <c r="A1040" s="4">
        <v>1037</v>
      </c>
      <c r="B1040" s="5"/>
      <c r="C1040" s="6"/>
      <c r="D1040" s="11"/>
      <c r="E1040" s="16"/>
      <c r="F1040" s="16"/>
      <c r="G1040" s="16"/>
      <c r="H1040" s="9"/>
      <c r="I1040" s="10"/>
    </row>
    <row r="1041" spans="1:9" x14ac:dyDescent="0.25">
      <c r="A1041" s="4">
        <v>1038</v>
      </c>
      <c r="B1041" s="5"/>
      <c r="C1041" s="6"/>
      <c r="D1041" s="11"/>
      <c r="E1041" s="16"/>
      <c r="F1041" s="16"/>
      <c r="G1041" s="16"/>
      <c r="H1041" s="9"/>
      <c r="I1041" s="10"/>
    </row>
    <row r="1042" spans="1:9" x14ac:dyDescent="0.25">
      <c r="A1042" s="4">
        <v>1039</v>
      </c>
      <c r="B1042" s="5"/>
      <c r="C1042" s="6"/>
      <c r="D1042" s="11"/>
      <c r="E1042" s="16"/>
      <c r="F1042" s="16"/>
      <c r="G1042" s="16"/>
      <c r="H1042" s="9"/>
      <c r="I1042" s="10"/>
    </row>
    <row r="1043" spans="1:9" x14ac:dyDescent="0.25">
      <c r="A1043" s="4">
        <v>1040</v>
      </c>
      <c r="B1043" s="5"/>
      <c r="C1043" s="6"/>
      <c r="D1043" s="11"/>
      <c r="E1043" s="16"/>
      <c r="F1043" s="16"/>
      <c r="G1043" s="16"/>
      <c r="H1043" s="9"/>
      <c r="I1043" s="10"/>
    </row>
    <row r="1044" spans="1:9" x14ac:dyDescent="0.25">
      <c r="A1044" s="4">
        <v>1041</v>
      </c>
      <c r="B1044" s="5"/>
      <c r="C1044" s="6"/>
      <c r="D1044" s="11"/>
      <c r="E1044" s="16"/>
      <c r="F1044" s="16"/>
      <c r="G1044" s="16"/>
      <c r="H1044" s="9"/>
      <c r="I1044" s="10"/>
    </row>
    <row r="1045" spans="1:9" x14ac:dyDescent="0.25">
      <c r="A1045" s="4">
        <v>1042</v>
      </c>
      <c r="B1045" s="5"/>
      <c r="C1045" s="6"/>
      <c r="D1045" s="11"/>
      <c r="E1045" s="16"/>
      <c r="F1045" s="16"/>
      <c r="G1045" s="16"/>
      <c r="H1045" s="9"/>
      <c r="I1045" s="10"/>
    </row>
    <row r="1046" spans="1:9" x14ac:dyDescent="0.25">
      <c r="A1046" s="4">
        <v>1043</v>
      </c>
      <c r="B1046" s="5"/>
      <c r="C1046" s="6"/>
      <c r="D1046" s="11"/>
      <c r="E1046" s="16"/>
      <c r="F1046" s="16"/>
      <c r="G1046" s="16"/>
      <c r="H1046" s="9"/>
      <c r="I1046" s="10"/>
    </row>
    <row r="1047" spans="1:9" x14ac:dyDescent="0.25">
      <c r="A1047" s="4">
        <v>1044</v>
      </c>
      <c r="B1047" s="5"/>
      <c r="C1047" s="6"/>
      <c r="D1047" s="11"/>
      <c r="E1047" s="16"/>
      <c r="F1047" s="16"/>
      <c r="G1047" s="16"/>
      <c r="H1047" s="9"/>
      <c r="I1047" s="10"/>
    </row>
    <row r="1048" spans="1:9" x14ac:dyDescent="0.25">
      <c r="A1048" s="4">
        <v>1045</v>
      </c>
      <c r="B1048" s="5"/>
      <c r="C1048" s="6"/>
      <c r="D1048" s="11"/>
      <c r="E1048" s="16"/>
      <c r="F1048" s="16"/>
      <c r="G1048" s="16"/>
      <c r="H1048" s="9"/>
      <c r="I1048" s="10"/>
    </row>
    <row r="1049" spans="1:9" x14ac:dyDescent="0.25">
      <c r="A1049" s="4">
        <v>1046</v>
      </c>
      <c r="B1049" s="5"/>
      <c r="C1049" s="6"/>
      <c r="D1049" s="11"/>
      <c r="E1049" s="16"/>
      <c r="F1049" s="16"/>
      <c r="G1049" s="16"/>
      <c r="H1049" s="9"/>
      <c r="I1049" s="10"/>
    </row>
    <row r="1050" spans="1:9" x14ac:dyDescent="0.25">
      <c r="A1050" s="4">
        <v>1047</v>
      </c>
      <c r="B1050" s="5"/>
      <c r="C1050" s="6"/>
      <c r="D1050" s="11"/>
      <c r="E1050" s="16"/>
      <c r="F1050" s="16"/>
      <c r="G1050" s="16"/>
      <c r="H1050" s="9"/>
      <c r="I1050" s="10"/>
    </row>
    <row r="1051" spans="1:9" x14ac:dyDescent="0.25">
      <c r="A1051" s="4">
        <v>1048</v>
      </c>
      <c r="B1051" s="5"/>
      <c r="C1051" s="6"/>
      <c r="D1051" s="11"/>
      <c r="E1051" s="16"/>
      <c r="F1051" s="16"/>
      <c r="G1051" s="16"/>
      <c r="H1051" s="9"/>
      <c r="I1051" s="10"/>
    </row>
    <row r="1052" spans="1:9" x14ac:dyDescent="0.25">
      <c r="A1052" s="4">
        <v>1049</v>
      </c>
      <c r="B1052" s="5"/>
      <c r="C1052" s="6"/>
      <c r="D1052" s="11"/>
      <c r="E1052" s="16"/>
      <c r="F1052" s="16"/>
      <c r="G1052" s="16"/>
      <c r="H1052" s="9"/>
      <c r="I1052" s="10"/>
    </row>
    <row r="1053" spans="1:9" x14ac:dyDescent="0.25">
      <c r="A1053" s="4">
        <v>1050</v>
      </c>
      <c r="B1053" s="5"/>
      <c r="C1053" s="6"/>
      <c r="D1053" s="11"/>
      <c r="E1053" s="16"/>
      <c r="F1053" s="16"/>
      <c r="G1053" s="16"/>
      <c r="H1053" s="9"/>
      <c r="I1053" s="10"/>
    </row>
    <row r="1054" spans="1:9" x14ac:dyDescent="0.25">
      <c r="A1054" s="4">
        <v>1051</v>
      </c>
      <c r="B1054" s="5"/>
      <c r="C1054" s="6"/>
      <c r="D1054" s="11"/>
      <c r="E1054" s="16"/>
      <c r="F1054" s="16"/>
      <c r="G1054" s="16"/>
      <c r="H1054" s="9"/>
      <c r="I1054" s="10"/>
    </row>
    <row r="1055" spans="1:9" x14ac:dyDescent="0.25">
      <c r="A1055" s="4">
        <v>1052</v>
      </c>
      <c r="B1055" s="5"/>
      <c r="C1055" s="6"/>
      <c r="D1055" s="11"/>
      <c r="E1055" s="16"/>
      <c r="F1055" s="16"/>
      <c r="G1055" s="16"/>
      <c r="H1055" s="9"/>
      <c r="I1055" s="10"/>
    </row>
    <row r="1056" spans="1:9" x14ac:dyDescent="0.25">
      <c r="A1056" s="4">
        <v>1053</v>
      </c>
      <c r="B1056" s="5"/>
      <c r="C1056" s="6"/>
      <c r="D1056" s="11"/>
      <c r="E1056" s="16"/>
      <c r="F1056" s="16"/>
      <c r="G1056" s="16"/>
      <c r="H1056" s="9"/>
      <c r="I1056" s="10"/>
    </row>
    <row r="1057" spans="1:9" x14ac:dyDescent="0.25">
      <c r="A1057" s="4">
        <v>1054</v>
      </c>
      <c r="B1057" s="5"/>
      <c r="C1057" s="6"/>
      <c r="D1057" s="11"/>
      <c r="E1057" s="16"/>
      <c r="F1057" s="16"/>
      <c r="G1057" s="16"/>
      <c r="H1057" s="9"/>
      <c r="I1057" s="10"/>
    </row>
    <row r="1058" spans="1:9" x14ac:dyDescent="0.25">
      <c r="A1058" s="4">
        <v>1055</v>
      </c>
      <c r="B1058" s="5"/>
      <c r="C1058" s="6"/>
      <c r="D1058" s="11"/>
      <c r="E1058" s="16"/>
      <c r="F1058" s="16"/>
      <c r="G1058" s="16"/>
      <c r="H1058" s="9"/>
      <c r="I1058" s="10"/>
    </row>
    <row r="1059" spans="1:9" x14ac:dyDescent="0.25">
      <c r="A1059" s="4">
        <v>1056</v>
      </c>
      <c r="B1059" s="5"/>
      <c r="C1059" s="6"/>
      <c r="D1059" s="11"/>
      <c r="E1059" s="16"/>
      <c r="F1059" s="16"/>
      <c r="G1059" s="16"/>
      <c r="H1059" s="9"/>
      <c r="I1059" s="10"/>
    </row>
    <row r="1060" spans="1:9" x14ac:dyDescent="0.25">
      <c r="A1060" s="4">
        <v>1057</v>
      </c>
      <c r="B1060" s="5"/>
      <c r="C1060" s="6"/>
      <c r="D1060" s="11"/>
      <c r="E1060" s="16"/>
      <c r="F1060" s="16"/>
      <c r="G1060" s="16"/>
      <c r="H1060" s="9"/>
      <c r="I1060" s="10"/>
    </row>
    <row r="1061" spans="1:9" x14ac:dyDescent="0.25">
      <c r="A1061" s="4">
        <v>1058</v>
      </c>
      <c r="B1061" s="5"/>
      <c r="C1061" s="6"/>
      <c r="D1061" s="11"/>
      <c r="E1061" s="16"/>
      <c r="F1061" s="16"/>
      <c r="G1061" s="16"/>
      <c r="H1061" s="9"/>
      <c r="I1061" s="10"/>
    </row>
    <row r="1062" spans="1:9" x14ac:dyDescent="0.25">
      <c r="A1062" s="4">
        <v>1059</v>
      </c>
      <c r="B1062" s="5"/>
      <c r="C1062" s="6"/>
      <c r="D1062" s="11"/>
      <c r="E1062" s="16"/>
      <c r="F1062" s="16"/>
      <c r="G1062" s="16"/>
      <c r="H1062" s="9"/>
      <c r="I1062" s="10"/>
    </row>
    <row r="1063" spans="1:9" x14ac:dyDescent="0.25">
      <c r="A1063" s="4">
        <v>1060</v>
      </c>
      <c r="B1063" s="5"/>
      <c r="C1063" s="6"/>
      <c r="D1063" s="11"/>
      <c r="E1063" s="16"/>
      <c r="F1063" s="16"/>
      <c r="G1063" s="16"/>
      <c r="H1063" s="9"/>
      <c r="I1063" s="10"/>
    </row>
    <row r="1064" spans="1:9" x14ac:dyDescent="0.25">
      <c r="A1064" s="4">
        <v>1061</v>
      </c>
      <c r="B1064" s="5"/>
      <c r="C1064" s="6"/>
      <c r="D1064" s="11"/>
      <c r="E1064" s="16"/>
      <c r="F1064" s="16"/>
      <c r="G1064" s="16"/>
      <c r="H1064" s="9"/>
      <c r="I1064" s="10"/>
    </row>
    <row r="1065" spans="1:9" x14ac:dyDescent="0.25">
      <c r="A1065" s="4">
        <v>1062</v>
      </c>
      <c r="B1065" s="5"/>
      <c r="C1065" s="6"/>
      <c r="D1065" s="11"/>
      <c r="E1065" s="16"/>
      <c r="F1065" s="16"/>
      <c r="G1065" s="16"/>
      <c r="H1065" s="9"/>
      <c r="I1065" s="10"/>
    </row>
    <row r="1066" spans="1:9" x14ac:dyDescent="0.25">
      <c r="A1066" s="4">
        <v>1063</v>
      </c>
      <c r="B1066" s="5"/>
      <c r="C1066" s="6"/>
      <c r="D1066" s="11"/>
      <c r="E1066" s="16"/>
      <c r="F1066" s="16"/>
      <c r="G1066" s="16"/>
      <c r="H1066" s="9"/>
      <c r="I1066" s="10"/>
    </row>
    <row r="1067" spans="1:9" x14ac:dyDescent="0.25">
      <c r="A1067" s="4">
        <v>1064</v>
      </c>
      <c r="B1067" s="5"/>
      <c r="C1067" s="6"/>
      <c r="D1067" s="11"/>
      <c r="E1067" s="16"/>
      <c r="F1067" s="16"/>
      <c r="G1067" s="16"/>
      <c r="H1067" s="9"/>
      <c r="I1067" s="10"/>
    </row>
    <row r="1068" spans="1:9" x14ac:dyDescent="0.25">
      <c r="A1068" s="4">
        <v>1065</v>
      </c>
      <c r="B1068" s="5"/>
      <c r="C1068" s="6"/>
      <c r="D1068" s="11"/>
      <c r="E1068" s="16"/>
      <c r="F1068" s="16"/>
      <c r="G1068" s="16"/>
      <c r="H1068" s="9"/>
      <c r="I1068" s="10"/>
    </row>
    <row r="1069" spans="1:9" x14ac:dyDescent="0.25">
      <c r="A1069" s="4">
        <v>1066</v>
      </c>
      <c r="B1069" s="5"/>
      <c r="C1069" s="6"/>
      <c r="D1069" s="11"/>
      <c r="E1069" s="16"/>
      <c r="F1069" s="16"/>
      <c r="G1069" s="16"/>
      <c r="H1069" s="9"/>
      <c r="I1069" s="10"/>
    </row>
    <row r="1070" spans="1:9" x14ac:dyDescent="0.25">
      <c r="A1070" s="4">
        <v>1067</v>
      </c>
      <c r="B1070" s="5"/>
      <c r="C1070" s="6"/>
      <c r="D1070" s="11"/>
      <c r="E1070" s="16"/>
      <c r="F1070" s="16"/>
      <c r="G1070" s="16"/>
      <c r="H1070" s="9"/>
      <c r="I1070" s="10"/>
    </row>
    <row r="1071" spans="1:9" x14ac:dyDescent="0.25">
      <c r="A1071" s="4">
        <v>1068</v>
      </c>
      <c r="B1071" s="5"/>
      <c r="C1071" s="6"/>
      <c r="D1071" s="11"/>
      <c r="E1071" s="16"/>
      <c r="F1071" s="16"/>
      <c r="G1071" s="16"/>
      <c r="H1071" s="9"/>
      <c r="I1071" s="10"/>
    </row>
    <row r="1072" spans="1:9" x14ac:dyDescent="0.25">
      <c r="A1072" s="4">
        <v>1069</v>
      </c>
      <c r="B1072" s="5"/>
      <c r="C1072" s="6"/>
      <c r="D1072" s="11"/>
      <c r="E1072" s="16"/>
      <c r="F1072" s="16"/>
      <c r="G1072" s="16"/>
      <c r="H1072" s="9"/>
      <c r="I1072" s="10"/>
    </row>
    <row r="1073" spans="1:9" x14ac:dyDescent="0.25">
      <c r="A1073" s="4">
        <v>1070</v>
      </c>
      <c r="B1073" s="5"/>
      <c r="C1073" s="6"/>
      <c r="D1073" s="11"/>
      <c r="E1073" s="16"/>
      <c r="F1073" s="16"/>
      <c r="G1073" s="16"/>
      <c r="H1073" s="9"/>
      <c r="I1073" s="10"/>
    </row>
    <row r="1074" spans="1:9" x14ac:dyDescent="0.25">
      <c r="A1074" s="4">
        <v>1071</v>
      </c>
      <c r="B1074" s="5"/>
      <c r="C1074" s="6"/>
      <c r="D1074" s="11"/>
      <c r="E1074" s="16"/>
      <c r="F1074" s="16"/>
      <c r="G1074" s="16"/>
      <c r="H1074" s="9"/>
      <c r="I1074" s="10"/>
    </row>
    <row r="1075" spans="1:9" x14ac:dyDescent="0.25">
      <c r="A1075" s="4">
        <v>1072</v>
      </c>
      <c r="B1075" s="5"/>
      <c r="C1075" s="6"/>
      <c r="D1075" s="11"/>
      <c r="E1075" s="16"/>
      <c r="F1075" s="16"/>
      <c r="G1075" s="16"/>
      <c r="H1075" s="9"/>
      <c r="I1075" s="10"/>
    </row>
    <row r="1076" spans="1:9" x14ac:dyDescent="0.25">
      <c r="A1076" s="4">
        <v>1073</v>
      </c>
      <c r="B1076" s="5"/>
      <c r="C1076" s="6"/>
      <c r="D1076" s="11"/>
      <c r="E1076" s="16"/>
      <c r="F1076" s="16"/>
      <c r="G1076" s="16"/>
      <c r="H1076" s="9"/>
      <c r="I1076" s="10"/>
    </row>
    <row r="1077" spans="1:9" x14ac:dyDescent="0.25">
      <c r="A1077" s="4">
        <v>1074</v>
      </c>
      <c r="B1077" s="5"/>
      <c r="C1077" s="6"/>
      <c r="D1077" s="11"/>
      <c r="E1077" s="16"/>
      <c r="F1077" s="16"/>
      <c r="G1077" s="16"/>
      <c r="H1077" s="9"/>
      <c r="I1077" s="10"/>
    </row>
    <row r="1078" spans="1:9" x14ac:dyDescent="0.25">
      <c r="A1078" s="4">
        <v>1075</v>
      </c>
      <c r="B1078" s="5"/>
      <c r="C1078" s="6"/>
      <c r="D1078" s="11"/>
      <c r="E1078" s="16"/>
      <c r="F1078" s="16"/>
      <c r="G1078" s="16"/>
      <c r="H1078" s="9"/>
      <c r="I1078" s="10"/>
    </row>
    <row r="1079" spans="1:9" x14ac:dyDescent="0.25">
      <c r="A1079" s="4">
        <v>1076</v>
      </c>
      <c r="B1079" s="5"/>
      <c r="C1079" s="6"/>
      <c r="D1079" s="11"/>
      <c r="E1079" s="16"/>
      <c r="F1079" s="16"/>
      <c r="G1079" s="16"/>
      <c r="H1079" s="9"/>
      <c r="I1079" s="10"/>
    </row>
    <row r="1080" spans="1:9" x14ac:dyDescent="0.25">
      <c r="A1080" s="4">
        <v>1077</v>
      </c>
      <c r="B1080" s="5"/>
      <c r="C1080" s="6"/>
      <c r="D1080" s="11"/>
      <c r="E1080" s="16"/>
      <c r="F1080" s="16"/>
      <c r="G1080" s="16"/>
      <c r="H1080" s="9"/>
      <c r="I1080" s="10"/>
    </row>
    <row r="1081" spans="1:9" x14ac:dyDescent="0.25">
      <c r="A1081" s="4">
        <v>1078</v>
      </c>
      <c r="B1081" s="5"/>
      <c r="C1081" s="6"/>
      <c r="D1081" s="11"/>
      <c r="E1081" s="16"/>
      <c r="F1081" s="16"/>
      <c r="G1081" s="16"/>
      <c r="H1081" s="9"/>
      <c r="I1081" s="10"/>
    </row>
    <row r="1082" spans="1:9" x14ac:dyDescent="0.25">
      <c r="A1082" s="4">
        <v>1079</v>
      </c>
      <c r="B1082" s="5"/>
      <c r="C1082" s="6"/>
      <c r="D1082" s="11"/>
      <c r="E1082" s="16"/>
      <c r="F1082" s="16"/>
      <c r="G1082" s="16"/>
      <c r="H1082" s="9"/>
      <c r="I1082" s="10"/>
    </row>
    <row r="1083" spans="1:9" x14ac:dyDescent="0.25">
      <c r="A1083" s="4">
        <v>1080</v>
      </c>
      <c r="B1083" s="5"/>
      <c r="C1083" s="6"/>
      <c r="D1083" s="11"/>
      <c r="E1083" s="16"/>
      <c r="F1083" s="16"/>
      <c r="G1083" s="16"/>
      <c r="H1083" s="9"/>
      <c r="I1083" s="10"/>
    </row>
    <row r="1084" spans="1:9" x14ac:dyDescent="0.25">
      <c r="A1084" s="4">
        <v>1081</v>
      </c>
      <c r="B1084" s="5"/>
      <c r="C1084" s="6"/>
      <c r="D1084" s="11"/>
      <c r="E1084" s="16"/>
      <c r="F1084" s="16"/>
      <c r="G1084" s="16"/>
      <c r="H1084" s="9"/>
      <c r="I1084" s="10"/>
    </row>
    <row r="1085" spans="1:9" x14ac:dyDescent="0.25">
      <c r="A1085" s="4">
        <v>1082</v>
      </c>
      <c r="B1085" s="5"/>
      <c r="C1085" s="6"/>
      <c r="D1085" s="11"/>
      <c r="E1085" s="16"/>
      <c r="F1085" s="16"/>
      <c r="G1085" s="16"/>
      <c r="H1085" s="9"/>
      <c r="I1085" s="10"/>
    </row>
    <row r="1086" spans="1:9" x14ac:dyDescent="0.25">
      <c r="A1086" s="4">
        <v>1083</v>
      </c>
      <c r="B1086" s="5"/>
      <c r="C1086" s="6"/>
      <c r="D1086" s="11"/>
      <c r="E1086" s="16"/>
      <c r="F1086" s="16"/>
      <c r="G1086" s="16"/>
      <c r="H1086" s="9"/>
      <c r="I1086" s="10"/>
    </row>
    <row r="1087" spans="1:9" x14ac:dyDescent="0.25">
      <c r="A1087" s="4">
        <v>1084</v>
      </c>
      <c r="B1087" s="5"/>
      <c r="C1087" s="6"/>
      <c r="D1087" s="11"/>
      <c r="E1087" s="16"/>
      <c r="F1087" s="16"/>
      <c r="G1087" s="16"/>
      <c r="H1087" s="9"/>
      <c r="I1087" s="10"/>
    </row>
    <row r="1088" spans="1:9" x14ac:dyDescent="0.25">
      <c r="A1088" s="4">
        <v>1085</v>
      </c>
      <c r="B1088" s="5"/>
      <c r="C1088" s="6"/>
      <c r="D1088" s="11"/>
      <c r="E1088" s="16"/>
      <c r="F1088" s="16"/>
      <c r="G1088" s="16"/>
      <c r="H1088" s="9"/>
      <c r="I1088" s="10"/>
    </row>
    <row r="1089" spans="1:9" x14ac:dyDescent="0.25">
      <c r="A1089" s="4">
        <v>1086</v>
      </c>
      <c r="B1089" s="5"/>
      <c r="C1089" s="6"/>
      <c r="D1089" s="11"/>
      <c r="E1089" s="16"/>
      <c r="F1089" s="16"/>
      <c r="G1089" s="16"/>
      <c r="H1089" s="9"/>
      <c r="I1089" s="10"/>
    </row>
    <row r="1090" spans="1:9" x14ac:dyDescent="0.25">
      <c r="A1090" s="4">
        <v>1087</v>
      </c>
      <c r="B1090" s="5"/>
      <c r="C1090" s="6"/>
      <c r="D1090" s="11"/>
      <c r="E1090" s="16"/>
      <c r="F1090" s="16"/>
      <c r="G1090" s="16"/>
      <c r="H1090" s="9"/>
      <c r="I1090" s="10"/>
    </row>
    <row r="1091" spans="1:9" x14ac:dyDescent="0.25">
      <c r="A1091" s="4">
        <v>1088</v>
      </c>
      <c r="B1091" s="5"/>
      <c r="C1091" s="6"/>
      <c r="D1091" s="11"/>
      <c r="E1091" s="16"/>
      <c r="F1091" s="16"/>
      <c r="G1091" s="16"/>
      <c r="H1091" s="9"/>
      <c r="I1091" s="10"/>
    </row>
    <row r="1092" spans="1:9" x14ac:dyDescent="0.25">
      <c r="A1092" s="4">
        <v>1089</v>
      </c>
      <c r="B1092" s="5"/>
      <c r="C1092" s="6"/>
      <c r="D1092" s="11"/>
      <c r="E1092" s="16"/>
      <c r="F1092" s="16"/>
      <c r="G1092" s="16"/>
      <c r="H1092" s="9"/>
      <c r="I1092" s="10"/>
    </row>
    <row r="1093" spans="1:9" x14ac:dyDescent="0.25">
      <c r="A1093" s="4">
        <v>1090</v>
      </c>
      <c r="B1093" s="5"/>
      <c r="C1093" s="6"/>
      <c r="D1093" s="11"/>
      <c r="E1093" s="16"/>
      <c r="F1093" s="16"/>
      <c r="G1093" s="16"/>
      <c r="H1093" s="9"/>
      <c r="I1093" s="10"/>
    </row>
    <row r="1094" spans="1:9" x14ac:dyDescent="0.25">
      <c r="A1094" s="4">
        <v>1091</v>
      </c>
      <c r="B1094" s="5"/>
      <c r="C1094" s="6"/>
      <c r="D1094" s="11"/>
      <c r="E1094" s="16"/>
      <c r="F1094" s="16"/>
      <c r="G1094" s="16"/>
      <c r="H1094" s="9"/>
      <c r="I1094" s="10"/>
    </row>
    <row r="1095" spans="1:9" x14ac:dyDescent="0.25">
      <c r="A1095" s="4">
        <v>1092</v>
      </c>
      <c r="B1095" s="5"/>
      <c r="C1095" s="6"/>
      <c r="D1095" s="11"/>
      <c r="E1095" s="16"/>
      <c r="F1095" s="16"/>
      <c r="G1095" s="16"/>
      <c r="H1095" s="9"/>
      <c r="I1095" s="10"/>
    </row>
    <row r="1096" spans="1:9" x14ac:dyDescent="0.25">
      <c r="A1096" s="4">
        <v>1093</v>
      </c>
      <c r="B1096" s="5"/>
      <c r="C1096" s="6"/>
      <c r="D1096" s="11"/>
      <c r="E1096" s="16"/>
      <c r="F1096" s="16"/>
      <c r="G1096" s="16"/>
      <c r="H1096" s="9"/>
      <c r="I1096" s="10"/>
    </row>
    <row r="1097" spans="1:9" x14ac:dyDescent="0.25">
      <c r="A1097" s="4">
        <v>1094</v>
      </c>
      <c r="B1097" s="5"/>
      <c r="C1097" s="6"/>
      <c r="D1097" s="11"/>
      <c r="E1097" s="16"/>
      <c r="F1097" s="16"/>
      <c r="G1097" s="16"/>
      <c r="H1097" s="9"/>
      <c r="I1097" s="10"/>
    </row>
    <row r="1098" spans="1:9" x14ac:dyDescent="0.25">
      <c r="A1098" s="4">
        <v>1095</v>
      </c>
      <c r="B1098" s="5"/>
      <c r="C1098" s="6"/>
      <c r="D1098" s="11"/>
      <c r="E1098" s="16"/>
      <c r="F1098" s="16"/>
      <c r="G1098" s="16"/>
      <c r="H1098" s="9"/>
      <c r="I1098" s="10"/>
    </row>
    <row r="1099" spans="1:9" x14ac:dyDescent="0.25">
      <c r="A1099" s="4">
        <v>1096</v>
      </c>
      <c r="B1099" s="5"/>
      <c r="C1099" s="6"/>
      <c r="D1099" s="11"/>
      <c r="E1099" s="16"/>
      <c r="F1099" s="16"/>
      <c r="G1099" s="16"/>
      <c r="H1099" s="9"/>
      <c r="I1099" s="10"/>
    </row>
    <row r="1100" spans="1:9" x14ac:dyDescent="0.25">
      <c r="A1100" s="4">
        <v>1097</v>
      </c>
      <c r="B1100" s="5"/>
      <c r="C1100" s="6"/>
      <c r="D1100" s="11"/>
      <c r="E1100" s="16"/>
      <c r="F1100" s="16"/>
      <c r="G1100" s="16"/>
      <c r="H1100" s="9"/>
      <c r="I1100" s="10"/>
    </row>
    <row r="1101" spans="1:9" x14ac:dyDescent="0.25">
      <c r="A1101" s="4">
        <v>1098</v>
      </c>
      <c r="B1101" s="5"/>
      <c r="C1101" s="6"/>
      <c r="D1101" s="11"/>
      <c r="E1101" s="16"/>
      <c r="F1101" s="16"/>
      <c r="G1101" s="16"/>
      <c r="H1101" s="9"/>
      <c r="I1101" s="10"/>
    </row>
    <row r="1102" spans="1:9" x14ac:dyDescent="0.25">
      <c r="A1102" s="4">
        <v>1099</v>
      </c>
      <c r="B1102" s="5"/>
      <c r="C1102" s="6"/>
      <c r="D1102" s="11"/>
      <c r="E1102" s="16"/>
      <c r="F1102" s="16"/>
      <c r="G1102" s="16"/>
      <c r="H1102" s="9"/>
      <c r="I1102" s="10"/>
    </row>
    <row r="1103" spans="1:9" x14ac:dyDescent="0.25">
      <c r="A1103" s="4">
        <v>1100</v>
      </c>
      <c r="B1103" s="5"/>
      <c r="C1103" s="6"/>
      <c r="D1103" s="11"/>
      <c r="E1103" s="16"/>
      <c r="F1103" s="16"/>
      <c r="G1103" s="16"/>
      <c r="H1103" s="9"/>
      <c r="I1103" s="10"/>
    </row>
    <row r="1104" spans="1:9" x14ac:dyDescent="0.25">
      <c r="A1104" s="4">
        <v>1101</v>
      </c>
      <c r="B1104" s="5"/>
      <c r="C1104" s="6"/>
      <c r="D1104" s="11"/>
      <c r="E1104" s="16"/>
      <c r="F1104" s="16"/>
      <c r="G1104" s="16"/>
      <c r="H1104" s="9"/>
      <c r="I1104" s="10"/>
    </row>
    <row r="1105" spans="1:9" x14ac:dyDescent="0.25">
      <c r="A1105" s="4">
        <v>1102</v>
      </c>
      <c r="B1105" s="5"/>
      <c r="C1105" s="6"/>
      <c r="D1105" s="11"/>
      <c r="E1105" s="16"/>
      <c r="F1105" s="16"/>
      <c r="G1105" s="16"/>
      <c r="H1105" s="9"/>
      <c r="I1105" s="10"/>
    </row>
    <row r="1106" spans="1:9" x14ac:dyDescent="0.25">
      <c r="A1106" s="4">
        <v>1103</v>
      </c>
      <c r="B1106" s="5"/>
      <c r="C1106" s="6"/>
      <c r="D1106" s="11"/>
      <c r="E1106" s="16"/>
      <c r="F1106" s="16"/>
      <c r="G1106" s="16"/>
      <c r="H1106" s="9"/>
      <c r="I1106" s="10"/>
    </row>
    <row r="1107" spans="1:9" x14ac:dyDescent="0.25">
      <c r="A1107" s="4">
        <v>1104</v>
      </c>
      <c r="B1107" s="5"/>
      <c r="C1107" s="6"/>
      <c r="D1107" s="11"/>
      <c r="E1107" s="16"/>
      <c r="F1107" s="16"/>
      <c r="G1107" s="16"/>
      <c r="H1107" s="9"/>
      <c r="I1107" s="10"/>
    </row>
    <row r="1108" spans="1:9" x14ac:dyDescent="0.25">
      <c r="A1108" s="4">
        <v>1105</v>
      </c>
      <c r="B1108" s="5"/>
      <c r="C1108" s="6"/>
      <c r="D1108" s="11"/>
      <c r="E1108" s="16"/>
      <c r="F1108" s="16"/>
      <c r="G1108" s="16"/>
      <c r="H1108" s="9"/>
      <c r="I1108" s="10"/>
    </row>
    <row r="1109" spans="1:9" x14ac:dyDescent="0.25">
      <c r="A1109" s="4">
        <v>1106</v>
      </c>
      <c r="B1109" s="5"/>
      <c r="C1109" s="6"/>
      <c r="D1109" s="11"/>
      <c r="E1109" s="16"/>
      <c r="F1109" s="16"/>
      <c r="G1109" s="16"/>
      <c r="H1109" s="9"/>
      <c r="I1109" s="10"/>
    </row>
    <row r="1110" spans="1:9" x14ac:dyDescent="0.25">
      <c r="A1110" s="4">
        <v>1107</v>
      </c>
      <c r="B1110" s="5"/>
      <c r="C1110" s="6"/>
      <c r="D1110" s="11"/>
      <c r="E1110" s="16"/>
      <c r="F1110" s="16"/>
      <c r="G1110" s="16"/>
      <c r="H1110" s="9"/>
      <c r="I1110" s="10"/>
    </row>
    <row r="1111" spans="1:9" x14ac:dyDescent="0.25">
      <c r="A1111" s="4">
        <v>1108</v>
      </c>
      <c r="B1111" s="5"/>
      <c r="C1111" s="6"/>
      <c r="D1111" s="11"/>
      <c r="E1111" s="16"/>
      <c r="F1111" s="16"/>
      <c r="G1111" s="16"/>
      <c r="H1111" s="9"/>
      <c r="I1111" s="10"/>
    </row>
    <row r="1112" spans="1:9" x14ac:dyDescent="0.25">
      <c r="A1112" s="4">
        <v>1109</v>
      </c>
      <c r="B1112" s="5"/>
      <c r="C1112" s="6"/>
      <c r="D1112" s="11"/>
      <c r="E1112" s="16"/>
      <c r="F1112" s="16"/>
      <c r="G1112" s="16"/>
      <c r="H1112" s="9"/>
      <c r="I1112" s="10"/>
    </row>
    <row r="1113" spans="1:9" x14ac:dyDescent="0.25">
      <c r="A1113" s="4">
        <v>1110</v>
      </c>
      <c r="B1113" s="5"/>
      <c r="C1113" s="6"/>
      <c r="D1113" s="11"/>
      <c r="E1113" s="16"/>
      <c r="F1113" s="16"/>
      <c r="G1113" s="16"/>
      <c r="H1113" s="9"/>
      <c r="I1113" s="10"/>
    </row>
    <row r="1114" spans="1:9" x14ac:dyDescent="0.25">
      <c r="A1114" s="4">
        <v>1111</v>
      </c>
      <c r="B1114" s="5"/>
      <c r="C1114" s="6"/>
      <c r="D1114" s="11"/>
      <c r="E1114" s="16"/>
      <c r="F1114" s="16"/>
      <c r="G1114" s="16"/>
      <c r="H1114" s="9"/>
      <c r="I1114" s="10"/>
    </row>
    <row r="1115" spans="1:9" x14ac:dyDescent="0.25">
      <c r="A1115" s="4">
        <v>1112</v>
      </c>
      <c r="B1115" s="5"/>
      <c r="C1115" s="6"/>
      <c r="D1115" s="11"/>
      <c r="E1115" s="16"/>
      <c r="F1115" s="16"/>
      <c r="G1115" s="16"/>
      <c r="H1115" s="9"/>
      <c r="I1115" s="10"/>
    </row>
    <row r="1116" spans="1:9" x14ac:dyDescent="0.25">
      <c r="A1116" s="4">
        <v>1113</v>
      </c>
      <c r="B1116" s="5"/>
      <c r="C1116" s="6"/>
      <c r="D1116" s="11"/>
      <c r="E1116" s="16"/>
      <c r="F1116" s="16"/>
      <c r="G1116" s="16"/>
      <c r="H1116" s="9"/>
      <c r="I1116" s="10"/>
    </row>
    <row r="1117" spans="1:9" x14ac:dyDescent="0.25">
      <c r="A1117" s="4">
        <v>1114</v>
      </c>
      <c r="B1117" s="5"/>
      <c r="C1117" s="6"/>
      <c r="D1117" s="11"/>
      <c r="E1117" s="16"/>
      <c r="F1117" s="16"/>
      <c r="G1117" s="16"/>
      <c r="H1117" s="9"/>
      <c r="I1117" s="10"/>
    </row>
    <row r="1118" spans="1:9" x14ac:dyDescent="0.25">
      <c r="A1118" s="4">
        <v>1115</v>
      </c>
      <c r="B1118" s="5"/>
      <c r="C1118" s="6"/>
      <c r="D1118" s="11"/>
      <c r="E1118" s="16"/>
      <c r="F1118" s="16"/>
      <c r="G1118" s="16"/>
      <c r="H1118" s="9"/>
      <c r="I1118" s="10"/>
    </row>
    <row r="1119" spans="1:9" x14ac:dyDescent="0.25">
      <c r="A1119" s="4">
        <v>1116</v>
      </c>
      <c r="B1119" s="5"/>
      <c r="C1119" s="6"/>
      <c r="D1119" s="11"/>
      <c r="E1119" s="16"/>
      <c r="F1119" s="16"/>
      <c r="G1119" s="16"/>
      <c r="H1119" s="9"/>
      <c r="I1119" s="10"/>
    </row>
    <row r="1120" spans="1:9" x14ac:dyDescent="0.25">
      <c r="A1120" s="4">
        <v>1117</v>
      </c>
      <c r="B1120" s="5"/>
      <c r="C1120" s="6"/>
      <c r="D1120" s="11"/>
      <c r="E1120" s="16"/>
      <c r="F1120" s="16"/>
      <c r="G1120" s="16"/>
      <c r="H1120" s="9"/>
      <c r="I1120" s="10"/>
    </row>
    <row r="1121" spans="1:9" x14ac:dyDescent="0.25">
      <c r="A1121" s="4">
        <v>1118</v>
      </c>
      <c r="B1121" s="5"/>
      <c r="C1121" s="6"/>
      <c r="D1121" s="11"/>
      <c r="E1121" s="16"/>
      <c r="F1121" s="16"/>
      <c r="G1121" s="16"/>
      <c r="H1121" s="9"/>
      <c r="I1121" s="10"/>
    </row>
    <row r="1122" spans="1:9" x14ac:dyDescent="0.25">
      <c r="A1122" s="4">
        <v>1119</v>
      </c>
      <c r="B1122" s="5"/>
      <c r="C1122" s="6"/>
      <c r="D1122" s="11"/>
      <c r="E1122" s="16"/>
      <c r="F1122" s="16"/>
      <c r="G1122" s="16"/>
      <c r="H1122" s="9"/>
      <c r="I1122" s="10"/>
    </row>
    <row r="1123" spans="1:9" x14ac:dyDescent="0.25">
      <c r="A1123" s="4">
        <v>1120</v>
      </c>
      <c r="B1123" s="5"/>
      <c r="C1123" s="6"/>
      <c r="D1123" s="11"/>
      <c r="E1123" s="16"/>
      <c r="F1123" s="16"/>
      <c r="G1123" s="16"/>
      <c r="H1123" s="9"/>
      <c r="I1123" s="10"/>
    </row>
    <row r="1124" spans="1:9" x14ac:dyDescent="0.25">
      <c r="A1124" s="4">
        <v>1121</v>
      </c>
      <c r="B1124" s="5"/>
      <c r="C1124" s="6"/>
      <c r="D1124" s="11"/>
      <c r="E1124" s="16"/>
      <c r="F1124" s="16"/>
      <c r="G1124" s="16"/>
      <c r="H1124" s="9"/>
      <c r="I1124" s="10"/>
    </row>
    <row r="1125" spans="1:9" x14ac:dyDescent="0.25">
      <c r="A1125" s="4">
        <v>1122</v>
      </c>
      <c r="B1125" s="5"/>
      <c r="C1125" s="6"/>
      <c r="D1125" s="11"/>
      <c r="E1125" s="16"/>
      <c r="F1125" s="16"/>
      <c r="G1125" s="16"/>
      <c r="H1125" s="9"/>
      <c r="I1125" s="10"/>
    </row>
    <row r="1126" spans="1:9" x14ac:dyDescent="0.25">
      <c r="A1126" s="4">
        <v>1123</v>
      </c>
      <c r="B1126" s="5"/>
      <c r="C1126" s="6"/>
      <c r="D1126" s="11"/>
      <c r="E1126" s="16"/>
      <c r="F1126" s="16"/>
      <c r="G1126" s="16"/>
      <c r="H1126" s="9"/>
      <c r="I1126" s="10"/>
    </row>
    <row r="1127" spans="1:9" x14ac:dyDescent="0.25">
      <c r="A1127" s="4">
        <v>1124</v>
      </c>
      <c r="B1127" s="5"/>
      <c r="C1127" s="6"/>
      <c r="D1127" s="11"/>
      <c r="E1127" s="16"/>
      <c r="F1127" s="16"/>
      <c r="G1127" s="16"/>
      <c r="H1127" s="9"/>
      <c r="I1127" s="10"/>
    </row>
    <row r="1128" spans="1:9" x14ac:dyDescent="0.25">
      <c r="A1128" s="4">
        <v>1125</v>
      </c>
      <c r="B1128" s="5"/>
      <c r="C1128" s="6"/>
      <c r="D1128" s="11"/>
      <c r="E1128" s="16"/>
      <c r="F1128" s="16"/>
      <c r="G1128" s="16"/>
      <c r="H1128" s="9"/>
      <c r="I1128" s="10"/>
    </row>
    <row r="1129" spans="1:9" x14ac:dyDescent="0.25">
      <c r="A1129" s="4">
        <v>1126</v>
      </c>
      <c r="B1129" s="5"/>
      <c r="C1129" s="6"/>
      <c r="D1129" s="11"/>
      <c r="E1129" s="16"/>
      <c r="F1129" s="16"/>
      <c r="G1129" s="16"/>
      <c r="H1129" s="9"/>
      <c r="I1129" s="10"/>
    </row>
  </sheetData>
  <mergeCells count="2">
    <mergeCell ref="A1:I1"/>
    <mergeCell ref="K693:P693"/>
  </mergeCells>
  <phoneticPr fontId="38" type="noConversion"/>
  <conditionalFormatting sqref="B1:B1048576">
    <cfRule type="duplicateValues" dxfId="94" priority="28"/>
  </conditionalFormatting>
  <conditionalFormatting sqref="I583:I2004">
    <cfRule type="expression" dxfId="93" priority="26" stopIfTrue="1">
      <formula>I583:I2582&gt;110000000</formula>
    </cfRule>
  </conditionalFormatting>
  <conditionalFormatting sqref="I387:I485 I487:I534 I536:I582">
    <cfRule type="expression" dxfId="92" priority="180" stopIfTrue="1">
      <formula>I387:I2387&gt;110000000</formula>
    </cfRule>
  </conditionalFormatting>
  <conditionalFormatting sqref="S237">
    <cfRule type="expression" dxfId="91" priority="210" stopIfTrue="1">
      <formula>T238:T2240&gt;110000000</formula>
    </cfRule>
  </conditionalFormatting>
  <conditionalFormatting sqref="I36:I109 I381:I386">
    <cfRule type="expression" dxfId="90" priority="393" stopIfTrue="1">
      <formula>I36:I2037&gt;110000000</formula>
    </cfRule>
  </conditionalFormatting>
  <conditionalFormatting sqref="I110:I380">
    <cfRule type="expression" dxfId="89" priority="402" stopIfTrue="1">
      <formula>I110:I2112&gt;110000000</formula>
    </cfRule>
  </conditionalFormatting>
  <conditionalFormatting sqref="K529 I535">
    <cfRule type="expression" dxfId="88" priority="1" stopIfTrue="1">
      <formula>G535:G2535&gt;110000000</formula>
    </cfRule>
  </conditionalFormatting>
  <conditionalFormatting sqref="I3:I35">
    <cfRule type="expression" dxfId="87" priority="468" stopIfTrue="1">
      <formula>I3:I2006&gt;110000000</formula>
    </cfRule>
  </conditionalFormatting>
  <hyperlinks>
    <hyperlink ref="B311" r:id="rId1" display="\\" xr:uid="{5C7387DF-FAE6-4A31-A1BF-708883971F9C}"/>
  </hyperlinks>
  <pageMargins left="0.7" right="0.7" top="0.75" bottom="0.75" header="0.3" footer="0.3"/>
  <pageSetup scale="10" orientation="landscape" horizontalDpi="0" verticalDpi="0"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C5E3FB-9042-4734-B1F0-1898BF1BF31A}">
          <x14:formula1>
            <xm:f>'ابو مرتضى'!$AB$4:$AB$9</xm:f>
          </x14:formula1>
          <xm:sqref>D505:D699 D701:D707 D709:D1129</xm:sqref>
        </x14:dataValidation>
        <x14:dataValidation type="list" allowBlank="1" showInputMessage="1" showErrorMessage="1" xr:uid="{C03C275C-DFEB-4660-A660-B4B83188569C}">
          <x14:formula1>
            <xm:f>'ابو مرتضى'!$AB$4:$AB$5</xm:f>
          </x14:formula1>
          <xm:sqref>D3:D504</xm:sqref>
        </x14:dataValidation>
        <x14:dataValidation type="list" allowBlank="1" showInputMessage="1" showErrorMessage="1" xr:uid="{952CF50A-DC3C-4405-B598-D68C6A7524C0}">
          <x14:formula1>
            <xm:f>'ابو مرتضى'!$AB$4:$AB$10</xm:f>
          </x14:formula1>
          <xm:sqref>D700 D708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75C6-BE8B-47CA-A223-15089275421A}">
  <sheetPr codeName="Sheet3">
    <tabColor theme="7" tint="0.79998168889431442"/>
    <pageSetUpPr fitToPage="1"/>
  </sheetPr>
  <dimension ref="A1:AA38"/>
  <sheetViews>
    <sheetView rightToLeft="1" workbookViewId="0">
      <selection activeCell="G38" sqref="G38"/>
    </sheetView>
  </sheetViews>
  <sheetFormatPr defaultRowHeight="15" x14ac:dyDescent="0.25"/>
  <cols>
    <col min="1" max="1" width="6.42578125" customWidth="1"/>
    <col min="2" max="2" width="12.140625" customWidth="1"/>
    <col min="3" max="3" width="5.28515625" customWidth="1"/>
    <col min="4" max="4" width="9.28515625" customWidth="1"/>
    <col min="5" max="5" width="18.85546875" customWidth="1"/>
    <col min="6" max="6" width="12.28515625" customWidth="1"/>
    <col min="7" max="7" width="11" customWidth="1"/>
    <col min="8" max="8" width="19.5703125" bestFit="1" customWidth="1"/>
    <col min="9" max="9" width="5.42578125" customWidth="1"/>
    <col min="11" max="11" width="9.140625" customWidth="1"/>
    <col min="12" max="12" width="18.7109375" customWidth="1"/>
    <col min="13" max="13" width="11.7109375" customWidth="1"/>
    <col min="14" max="14" width="14.85546875" customWidth="1"/>
    <col min="15" max="15" width="20" bestFit="1" customWidth="1"/>
    <col min="16" max="16" width="5.7109375" customWidth="1"/>
    <col min="20" max="20" width="4.7109375" bestFit="1" customWidth="1"/>
    <col min="22" max="22" width="14.42578125" bestFit="1" customWidth="1"/>
    <col min="25" max="25" width="10.42578125" bestFit="1" customWidth="1"/>
    <col min="26" max="26" width="14" bestFit="1" customWidth="1"/>
    <col min="27" max="27" width="19.5703125" bestFit="1" customWidth="1"/>
    <col min="28" max="28" width="10.85546875" customWidth="1"/>
  </cols>
  <sheetData>
    <row r="1" spans="1:27" ht="23.25" customHeight="1" x14ac:dyDescent="0.25">
      <c r="A1" s="126" t="s">
        <v>0</v>
      </c>
      <c r="B1" s="263" t="s">
        <v>5</v>
      </c>
      <c r="C1" s="263"/>
      <c r="D1" s="263"/>
      <c r="E1" s="126" t="s">
        <v>4</v>
      </c>
      <c r="F1" s="126" t="s">
        <v>1</v>
      </c>
      <c r="G1" s="263" t="s">
        <v>7</v>
      </c>
      <c r="H1" s="263"/>
      <c r="M1" s="267">
        <f ca="1">'Company accounts'!$K$693</f>
        <v>46253</v>
      </c>
      <c r="N1" s="268"/>
      <c r="P1" s="129"/>
      <c r="S1" s="126" t="s">
        <v>0</v>
      </c>
      <c r="T1" s="126" t="s">
        <v>661</v>
      </c>
      <c r="U1" s="126" t="s">
        <v>1</v>
      </c>
      <c r="V1" s="126" t="s">
        <v>7</v>
      </c>
      <c r="W1" s="263" t="s">
        <v>660</v>
      </c>
      <c r="X1" s="263"/>
      <c r="Y1" s="128" t="s">
        <v>680</v>
      </c>
      <c r="Z1" s="128" t="s">
        <v>681</v>
      </c>
    </row>
    <row r="2" spans="1:27" ht="15" customHeight="1" x14ac:dyDescent="0.25">
      <c r="A2" s="16">
        <f>'Company accounts'!N695</f>
        <v>716</v>
      </c>
      <c r="B2" s="264" t="str">
        <f>VLOOKUP(A2,'Company accounts'!$A$3:$I$4004,6,0)</f>
        <v>قبض مبلغ - صرف في وصل - 1868</v>
      </c>
      <c r="C2" s="265"/>
      <c r="D2" s="266"/>
      <c r="E2" s="16" t="str">
        <f>VLOOKUP(Transfer!A2,'Company accounts'!$A$3:$I$4004,5,0)</f>
        <v>محمد عباس محمد</v>
      </c>
      <c r="F2" s="16" t="str">
        <f>VLOOKUP(A2,'Company accounts'!$A$3:$I$4004,2,0)</f>
        <v>1867</v>
      </c>
      <c r="G2" s="262">
        <f>VLOOKUP(Transfer!A2,'Company accounts'!$A$3:$I$4004,9,0)</f>
        <v>7000000</v>
      </c>
      <c r="H2" s="262"/>
      <c r="J2" s="124" t="s">
        <v>0</v>
      </c>
      <c r="K2" s="124" t="s">
        <v>659</v>
      </c>
      <c r="L2" s="124" t="s">
        <v>5</v>
      </c>
      <c r="M2" s="124" t="s">
        <v>4</v>
      </c>
      <c r="N2" s="124" t="s">
        <v>7</v>
      </c>
      <c r="O2" s="124" t="s">
        <v>660</v>
      </c>
      <c r="P2" s="124" t="s">
        <v>661</v>
      </c>
      <c r="Q2" s="124" t="s">
        <v>1</v>
      </c>
      <c r="S2" s="16">
        <f>'Company accounts'!O695</f>
        <v>704</v>
      </c>
      <c r="T2" s="16">
        <f>'Company accounts'!P695</f>
        <v>884</v>
      </c>
      <c r="U2" s="16" t="str">
        <f>VLOOKUP(S2,'Company accounts'!$A$3:$I$4004,2,0)</f>
        <v>646</v>
      </c>
      <c r="V2" s="125">
        <f>VLOOKUP(S2,'Company accounts'!$A$3:$I$4004,9,0)</f>
        <v>14000000</v>
      </c>
      <c r="W2" s="261" t="str">
        <f>NumberToText(V2,"","")</f>
        <v xml:space="preserve">أربعة عشر مليون </v>
      </c>
      <c r="X2" s="261"/>
      <c r="Y2" s="114" t="str">
        <f>VLOOKUP(S2,'Company accounts'!$A$3:$I$4004,6,0)</f>
        <v>ZA4-91</v>
      </c>
      <c r="Z2" s="130">
        <f ca="1">'Company accounts'!$K$693</f>
        <v>46253</v>
      </c>
      <c r="AA2" s="127"/>
    </row>
    <row r="3" spans="1:27" x14ac:dyDescent="0.25">
      <c r="A3" s="16">
        <f>'Company accounts'!N696</f>
        <v>717</v>
      </c>
      <c r="B3" s="264" t="str">
        <f>VLOOKUP(A3,'Company accounts'!$A$3:$I$4004,6,0)</f>
        <v>سحب مبلغ فقط</v>
      </c>
      <c r="C3" s="265"/>
      <c r="D3" s="266"/>
      <c r="E3" s="16" t="str">
        <f>VLOOKUP(Transfer!A3,'Company accounts'!$A$3:$I$4004,5,0)</f>
        <v>ابو مرتضى</v>
      </c>
      <c r="F3" s="16" t="str">
        <f>VLOOKUP(Transfer!A3,'Company accounts'!$A$3:$I$4004,2,0)</f>
        <v>1868</v>
      </c>
      <c r="G3" s="262">
        <f>VLOOKUP(Transfer!A3,'Company accounts'!$A$3:$I$4004,9,0)</f>
        <v>7000000</v>
      </c>
      <c r="H3" s="262"/>
      <c r="J3" s="143">
        <f>'Company accounts'!M695</f>
        <v>716</v>
      </c>
      <c r="K3" s="16" t="s">
        <v>724</v>
      </c>
      <c r="L3" s="114" t="str">
        <f>VLOOKUP(J3,'Company accounts'!$A$3:$I$4004,6,0)</f>
        <v>قبض مبلغ - صرف في وصل - 1868</v>
      </c>
      <c r="M3" s="114" t="str">
        <f>VLOOKUP(J3,'Company accounts'!$A$3:$I$4004,5,0)</f>
        <v>محمد عباس محمد</v>
      </c>
      <c r="N3" s="125">
        <f>VLOOKUP(J3,'Company accounts'!$A$3:$I$4004,9,0)</f>
        <v>7000000</v>
      </c>
      <c r="O3" s="114" t="str">
        <f>NumberToText(N3,"د. ع","الف")</f>
        <v>سبعة ملايين د. ع</v>
      </c>
      <c r="P3" s="148">
        <f>'Company accounts'!L695</f>
        <v>884</v>
      </c>
      <c r="Q3" s="16" t="str">
        <f>VLOOKUP(J3,'Company accounts'!$A$3:$I$4004,2,0)</f>
        <v>1867</v>
      </c>
      <c r="S3" s="16">
        <f>'Company accounts'!O696</f>
        <v>705</v>
      </c>
      <c r="T3" s="16">
        <f>'Company accounts'!P696</f>
        <v>885</v>
      </c>
      <c r="U3" s="16" t="str">
        <f>VLOOKUP(S3,'Company accounts'!$A$3:$I$4004,2,0)</f>
        <v>1856</v>
      </c>
      <c r="V3" s="125">
        <f>VLOOKUP(S3,'Company accounts'!$A$3:$I$4004,9,0)</f>
        <v>1000000</v>
      </c>
      <c r="W3" s="261" t="str">
        <f>NumberToText(V3,"","")</f>
        <v xml:space="preserve"> مليون </v>
      </c>
      <c r="X3" s="261"/>
      <c r="Y3" s="114" t="str">
        <f>VLOOKUP(S3,'Company accounts'!$A$3:$I$4004,6,0)</f>
        <v>تننازل عن وحده سكنية - خير الله عودة سويف</v>
      </c>
      <c r="Z3" s="130">
        <f ca="1">'Company accounts'!$K$693</f>
        <v>46253</v>
      </c>
    </row>
    <row r="4" spans="1:27" ht="14.25" customHeight="1" x14ac:dyDescent="0.25">
      <c r="A4" s="16">
        <f>'Company accounts'!N697</f>
        <v>0</v>
      </c>
      <c r="B4" s="264" t="e">
        <f>VLOOKUP(A4,'Company accounts'!$A$3:$I$4004,6,0)</f>
        <v>#N/A</v>
      </c>
      <c r="C4" s="265"/>
      <c r="D4" s="266"/>
      <c r="E4" s="16" t="e">
        <f>VLOOKUP(Transfer!A4,'Company accounts'!$A$3:$I$4004,5,0)</f>
        <v>#N/A</v>
      </c>
      <c r="F4" s="16" t="e">
        <f>VLOOKUP(Transfer!A4,'Company accounts'!$A$3:$I$4004,2,0)</f>
        <v>#N/A</v>
      </c>
      <c r="G4" s="262" t="e">
        <f>VLOOKUP(Transfer!A4,'Company accounts'!$A$3:$I$4004,9,0)</f>
        <v>#N/A</v>
      </c>
      <c r="H4" s="262"/>
      <c r="J4" s="143">
        <f>'Company accounts'!M696</f>
        <v>717</v>
      </c>
      <c r="K4" s="16" t="s">
        <v>1958</v>
      </c>
      <c r="L4" s="114" t="str">
        <f>VLOOKUP(J4,'Company accounts'!$A$3:$I$4004,6,0)</f>
        <v>سحب مبلغ فقط</v>
      </c>
      <c r="M4" s="114" t="str">
        <f>VLOOKUP(J4,'Company accounts'!$A$3:$I$4004,5,0)</f>
        <v>ابو مرتضى</v>
      </c>
      <c r="N4" s="125">
        <f>VLOOKUP(J4,'Company accounts'!$A$3:$I$4004,9,0)</f>
        <v>7000000</v>
      </c>
      <c r="O4" s="114" t="str">
        <f>NumberToText(N4,"د. ع","الف")</f>
        <v>سبعة ملايين د. ع</v>
      </c>
      <c r="P4" s="148">
        <f>'Company accounts'!L696</f>
        <v>885</v>
      </c>
      <c r="Q4" s="16" t="str">
        <f>VLOOKUP(J4,'Company accounts'!$A$3:$I$4004,2,0)</f>
        <v>1868</v>
      </c>
      <c r="S4" s="16">
        <f>'Company accounts'!O697</f>
        <v>0</v>
      </c>
      <c r="T4" s="16">
        <f>'Company accounts'!P697</f>
        <v>0</v>
      </c>
      <c r="U4" s="16" t="e">
        <f>VLOOKUP(S4,'Company accounts'!$A$3:$I$4004,2,0)</f>
        <v>#N/A</v>
      </c>
      <c r="V4" s="125" t="e">
        <f>VLOOKUP(S4,'Company accounts'!$A$3:$I$4004,9,0)</f>
        <v>#N/A</v>
      </c>
      <c r="W4" s="261" t="e">
        <f>NumberToText(V4,"","")</f>
        <v>#VALUE!</v>
      </c>
      <c r="X4" s="261"/>
      <c r="Y4" s="114" t="e">
        <f>VLOOKUP(S4,'Company accounts'!$A$3:$I$4004,6,0)</f>
        <v>#N/A</v>
      </c>
      <c r="Z4" s="130">
        <f ca="1">'Company accounts'!$K$693</f>
        <v>46253</v>
      </c>
    </row>
    <row r="5" spans="1:27" x14ac:dyDescent="0.25">
      <c r="A5" s="16">
        <f>'Company accounts'!N698</f>
        <v>0</v>
      </c>
      <c r="B5" s="261" t="e">
        <f>VLOOKUP(A5,'Company accounts'!$A$3:$I$4004,6,0)</f>
        <v>#N/A</v>
      </c>
      <c r="C5" s="261"/>
      <c r="D5" s="261"/>
      <c r="E5" s="16" t="e">
        <f>VLOOKUP(Transfer!A5,'Company accounts'!$A$3:$I$4004,5,0)</f>
        <v>#N/A</v>
      </c>
      <c r="F5" s="16" t="e">
        <f>VLOOKUP(Transfer!A5,'Company accounts'!$A$3:$I$4004,2,0)</f>
        <v>#N/A</v>
      </c>
      <c r="G5" s="262" t="e">
        <f>VLOOKUP(Transfer!A5,'Company accounts'!$A$3:$I$4004,9,0)</f>
        <v>#N/A</v>
      </c>
      <c r="H5" s="262"/>
      <c r="J5" s="143">
        <f>'Company accounts'!M697</f>
        <v>0</v>
      </c>
      <c r="K5" s="16" t="s">
        <v>666</v>
      </c>
      <c r="L5" s="114" t="e">
        <f>VLOOKUP(J5,'Company accounts'!$A$3:$I$4004,6,0)</f>
        <v>#N/A</v>
      </c>
      <c r="M5" s="114" t="e">
        <f>VLOOKUP(J5,'Company accounts'!$A$3:$I$4004,5,0)</f>
        <v>#N/A</v>
      </c>
      <c r="N5" s="125" t="e">
        <f>VLOOKUP(J5,'Company accounts'!$A$3:$I$4004,9,0)</f>
        <v>#N/A</v>
      </c>
      <c r="O5" s="114" t="e">
        <f t="shared" ref="O5" si="0">NumberToText(N5,"د. ع","الف")</f>
        <v>#VALUE!</v>
      </c>
      <c r="P5" s="148">
        <f>'Company accounts'!L697</f>
        <v>0</v>
      </c>
      <c r="Q5" s="16" t="e">
        <f>VLOOKUP(J5,'Company accounts'!$A$3:$I$4004,2,0)</f>
        <v>#N/A</v>
      </c>
      <c r="S5" s="16">
        <f>'Company accounts'!O698</f>
        <v>0</v>
      </c>
      <c r="T5" s="16">
        <f>'Company accounts'!P698</f>
        <v>0</v>
      </c>
      <c r="U5" s="16" t="e">
        <f>VLOOKUP(S5,'Company accounts'!$A$3:$I$4004,2,0)</f>
        <v>#N/A</v>
      </c>
      <c r="V5" s="125" t="e">
        <f>VLOOKUP(S5,'Company accounts'!$A$3:$I$4004,9,0)</f>
        <v>#N/A</v>
      </c>
      <c r="W5" s="261" t="e">
        <f>NumberToText(V5,"","")</f>
        <v>#VALUE!</v>
      </c>
      <c r="X5" s="261"/>
      <c r="Y5" s="114" t="e">
        <f>VLOOKUP(S5,'Company accounts'!$A$3:$I$4004,6,0)</f>
        <v>#N/A</v>
      </c>
      <c r="Z5" s="130">
        <f ca="1">'Company accounts'!$K$693</f>
        <v>46253</v>
      </c>
    </row>
    <row r="6" spans="1:27" x14ac:dyDescent="0.25">
      <c r="A6" s="16">
        <f>'Company accounts'!N699</f>
        <v>0</v>
      </c>
      <c r="B6" s="261" t="e">
        <f>VLOOKUP(A6,'Company accounts'!$A$3:$I$4004,6,0)</f>
        <v>#N/A</v>
      </c>
      <c r="C6" s="261"/>
      <c r="D6" s="261"/>
      <c r="E6" s="16" t="e">
        <f>VLOOKUP(Transfer!A6,'Company accounts'!$A$3:$I$4004,5,0)</f>
        <v>#N/A</v>
      </c>
      <c r="F6" s="16" t="e">
        <f>VLOOKUP(Transfer!A6,'Company accounts'!$A$3:$I$4004,2,0)</f>
        <v>#N/A</v>
      </c>
      <c r="G6" s="262" t="e">
        <f>VLOOKUP(Transfer!A6,'Company accounts'!$A$3:$I$4004,9,0)</f>
        <v>#N/A</v>
      </c>
      <c r="H6" s="262"/>
      <c r="J6" s="143">
        <f>'Company accounts'!M698</f>
        <v>0</v>
      </c>
      <c r="K6" s="16" t="s">
        <v>666</v>
      </c>
      <c r="L6" s="114" t="e">
        <f>VLOOKUP(J6,'Company accounts'!$A$3:$I$4004,6,0)</f>
        <v>#N/A</v>
      </c>
      <c r="M6" s="114" t="e">
        <f>VLOOKUP(J6,'Company accounts'!$A$3:$I$4004,5,0)</f>
        <v>#N/A</v>
      </c>
      <c r="N6" s="125" t="e">
        <f>VLOOKUP(J6,'Company accounts'!$A$3:$I$4004,9,0)</f>
        <v>#N/A</v>
      </c>
      <c r="O6" s="114" t="e">
        <f>NumberToText(N6,"د. ع","الف")</f>
        <v>#VALUE!</v>
      </c>
      <c r="P6" s="148">
        <f>'Company accounts'!L698</f>
        <v>0</v>
      </c>
      <c r="Q6" s="16" t="e">
        <f>VLOOKUP(J6,'Company accounts'!$A$3:$I$4004,2,0)</f>
        <v>#N/A</v>
      </c>
      <c r="S6" s="16">
        <f>'Company accounts'!O699</f>
        <v>0</v>
      </c>
      <c r="T6" s="16">
        <f>'Company accounts'!P699</f>
        <v>0</v>
      </c>
      <c r="U6" s="16" t="e">
        <f>VLOOKUP(S6,'Company accounts'!$A$3:$I$4004,2,0)</f>
        <v>#N/A</v>
      </c>
      <c r="V6" s="125" t="e">
        <f>VLOOKUP(S6,'Company accounts'!$A$3:$I$4004,9,0)</f>
        <v>#N/A</v>
      </c>
      <c r="W6" s="261" t="e">
        <f t="shared" ref="W6:W11" si="1">NumberToText(V6,"","")</f>
        <v>#VALUE!</v>
      </c>
      <c r="X6" s="261"/>
      <c r="Y6" s="114" t="e">
        <f>VLOOKUP(S6,'Company accounts'!$A$3:$I$4004,6,0)</f>
        <v>#N/A</v>
      </c>
      <c r="Z6" s="130">
        <f ca="1">'Company accounts'!$K$693</f>
        <v>46253</v>
      </c>
    </row>
    <row r="7" spans="1:27" x14ac:dyDescent="0.25">
      <c r="A7" s="16">
        <f>'Company accounts'!N700</f>
        <v>0</v>
      </c>
      <c r="B7" s="261" t="e">
        <f>VLOOKUP(A7,'Company accounts'!$A$3:$I$4004,6,0)</f>
        <v>#N/A</v>
      </c>
      <c r="C7" s="261"/>
      <c r="D7" s="261"/>
      <c r="E7" s="16" t="e">
        <f>VLOOKUP(Transfer!A7,'Company accounts'!$A$3:$I$4004,5,0)</f>
        <v>#N/A</v>
      </c>
      <c r="F7" s="16" t="e">
        <f>VLOOKUP(Transfer!A7,'Company accounts'!$A$3:$I$4004,2,0)</f>
        <v>#N/A</v>
      </c>
      <c r="G7" s="262" t="e">
        <f>VLOOKUP(Transfer!A7,'Company accounts'!$A$3:$I$4004,9,0)</f>
        <v>#N/A</v>
      </c>
      <c r="H7" s="262"/>
      <c r="J7" s="143">
        <f>'Company accounts'!M699</f>
        <v>0</v>
      </c>
      <c r="K7" s="16" t="s">
        <v>666</v>
      </c>
      <c r="L7" s="114" t="e">
        <f>VLOOKUP(J7,'Company accounts'!$A$3:$I$4004,6,0)</f>
        <v>#N/A</v>
      </c>
      <c r="M7" s="114" t="e">
        <f>VLOOKUP(J7,'Company accounts'!$A$3:$I$4004,5,0)</f>
        <v>#N/A</v>
      </c>
      <c r="N7" s="125" t="e">
        <f>VLOOKUP(J7,'Company accounts'!$A$3:$I$4004,9,0)</f>
        <v>#N/A</v>
      </c>
      <c r="O7" s="114" t="e">
        <f>NumberToText(N7,"د. ع","الف")</f>
        <v>#VALUE!</v>
      </c>
      <c r="P7" s="148">
        <f>'Company accounts'!L699</f>
        <v>0</v>
      </c>
      <c r="Q7" s="16" t="e">
        <f>VLOOKUP(J7,'Company accounts'!$A$3:$I$4004,2,0)</f>
        <v>#N/A</v>
      </c>
      <c r="S7" s="16">
        <f>'Company accounts'!O700</f>
        <v>0</v>
      </c>
      <c r="T7" s="16">
        <f>'Company accounts'!P700</f>
        <v>0</v>
      </c>
      <c r="U7" s="16" t="e">
        <f>VLOOKUP(S7,'Company accounts'!$A$3:$I$4004,2,0)</f>
        <v>#N/A</v>
      </c>
      <c r="V7" s="125" t="e">
        <f>VLOOKUP(S7,'Company accounts'!$A$3:$I$4004,9,0)</f>
        <v>#N/A</v>
      </c>
      <c r="W7" s="261" t="e">
        <f t="shared" si="1"/>
        <v>#VALUE!</v>
      </c>
      <c r="X7" s="261"/>
      <c r="Y7" s="114" t="e">
        <f>VLOOKUP(S7,'Company accounts'!$A$3:$I$4004,6,0)</f>
        <v>#N/A</v>
      </c>
      <c r="Z7" s="130">
        <f ca="1">'Company accounts'!$K$693</f>
        <v>46253</v>
      </c>
    </row>
    <row r="8" spans="1:27" ht="15" customHeight="1" x14ac:dyDescent="0.25">
      <c r="A8" s="16">
        <f>'Company accounts'!N701</f>
        <v>0</v>
      </c>
      <c r="B8" s="261" t="e">
        <f>VLOOKUP(A8,'Company accounts'!$A$3:$I$4004,6,0)</f>
        <v>#N/A</v>
      </c>
      <c r="C8" s="261"/>
      <c r="D8" s="261"/>
      <c r="E8" s="16" t="e">
        <f>VLOOKUP(Transfer!A8,'Company accounts'!$A$3:$I$4004,5,0)</f>
        <v>#N/A</v>
      </c>
      <c r="F8" s="16" t="e">
        <f>VLOOKUP(Transfer!A8,'Company accounts'!$A$3:$I$4004,2,0)</f>
        <v>#N/A</v>
      </c>
      <c r="G8" s="262" t="e">
        <f>VLOOKUP(Transfer!A8,'Company accounts'!$A$3:$I$4004,9,0)</f>
        <v>#N/A</v>
      </c>
      <c r="H8" s="262"/>
      <c r="J8" s="143">
        <f>'Company accounts'!M700</f>
        <v>0</v>
      </c>
      <c r="K8" s="16" t="s">
        <v>666</v>
      </c>
      <c r="L8" s="114" t="e">
        <f>VLOOKUP(J8,'Company accounts'!$A$3:$I$4004,6,0)</f>
        <v>#N/A</v>
      </c>
      <c r="M8" s="114" t="e">
        <f>VLOOKUP(J8,'Company accounts'!$A$3:$I$4004,5,0)</f>
        <v>#N/A</v>
      </c>
      <c r="N8" s="125" t="e">
        <f>VLOOKUP(J8,'Company accounts'!$A$3:$I$4004,9,0)</f>
        <v>#N/A</v>
      </c>
      <c r="O8" s="114" t="e">
        <f>NumberToText(N8,"د. ع","الف")</f>
        <v>#VALUE!</v>
      </c>
      <c r="P8" s="148">
        <f>'Company accounts'!L700</f>
        <v>0</v>
      </c>
      <c r="Q8" s="16" t="e">
        <f>VLOOKUP(J8,'Company accounts'!$A$3:$I$4004,2,0)</f>
        <v>#N/A</v>
      </c>
      <c r="S8" s="16">
        <f>'Company accounts'!O701</f>
        <v>0</v>
      </c>
      <c r="T8" s="16">
        <f>'Company accounts'!P701</f>
        <v>0</v>
      </c>
      <c r="U8" s="16" t="e">
        <f>VLOOKUP(S8,'Company accounts'!$A$3:$I$4004,2,0)</f>
        <v>#N/A</v>
      </c>
      <c r="V8" s="125" t="e">
        <f>VLOOKUP(S8,'Company accounts'!$A$3:$I$4004,9,0)</f>
        <v>#N/A</v>
      </c>
      <c r="W8" s="261" t="e">
        <f t="shared" si="1"/>
        <v>#VALUE!</v>
      </c>
      <c r="X8" s="261"/>
      <c r="Y8" s="114" t="e">
        <f>VLOOKUP(S8,'Company accounts'!$A$3:$I$4004,6,0)</f>
        <v>#N/A</v>
      </c>
      <c r="Z8" s="130">
        <f ca="1">'Company accounts'!$K$693</f>
        <v>46253</v>
      </c>
    </row>
    <row r="9" spans="1:27" ht="15" customHeight="1" x14ac:dyDescent="0.25">
      <c r="A9" s="16">
        <f>'Company accounts'!N702</f>
        <v>0</v>
      </c>
      <c r="B9" s="261" t="e">
        <f>VLOOKUP(A9,'Company accounts'!$A$3:$I$4004,6,0)</f>
        <v>#N/A</v>
      </c>
      <c r="C9" s="261"/>
      <c r="D9" s="261"/>
      <c r="E9" s="16" t="e">
        <f>VLOOKUP(Transfer!A9,'Company accounts'!$A$3:$I$4004,5,0)</f>
        <v>#N/A</v>
      </c>
      <c r="F9" s="16" t="e">
        <f>VLOOKUP(Transfer!A9,'Company accounts'!$A$3:$I$4004,2,0)</f>
        <v>#N/A</v>
      </c>
      <c r="G9" s="262" t="e">
        <f>VLOOKUP(Transfer!A9,'Company accounts'!$A$3:$I$4004,9,0)</f>
        <v>#N/A</v>
      </c>
      <c r="H9" s="262"/>
      <c r="J9" s="143">
        <f>'Company accounts'!M701</f>
        <v>0</v>
      </c>
      <c r="K9" s="16" t="s">
        <v>666</v>
      </c>
      <c r="L9" s="114" t="e">
        <f>VLOOKUP(J9,'Company accounts'!$A$3:$I$4004,6,0)</f>
        <v>#N/A</v>
      </c>
      <c r="M9" s="114" t="e">
        <f>VLOOKUP(J9,'Company accounts'!$A$3:$I$4004,5,0)</f>
        <v>#N/A</v>
      </c>
      <c r="N9" s="125" t="e">
        <f>VLOOKUP(J9,'Company accounts'!$A$3:$I$4004,9,0)</f>
        <v>#N/A</v>
      </c>
      <c r="O9" s="114" t="e">
        <f t="shared" ref="O9:O14" si="2">NumberToText(N9,"د. ع","الف")</f>
        <v>#VALUE!</v>
      </c>
      <c r="P9" s="16">
        <f>'Company accounts'!L701</f>
        <v>0</v>
      </c>
      <c r="Q9" s="16" t="e">
        <f>VLOOKUP(J9,'Company accounts'!$A$3:$I$4004,2,0)</f>
        <v>#N/A</v>
      </c>
      <c r="S9" s="16">
        <f>'Company accounts'!O702</f>
        <v>0</v>
      </c>
      <c r="T9" s="16">
        <f>'Company accounts'!P702</f>
        <v>0</v>
      </c>
      <c r="U9" s="16" t="e">
        <f>VLOOKUP(S9,'Company accounts'!$A$3:$I$4004,2,0)</f>
        <v>#N/A</v>
      </c>
      <c r="V9" s="125" t="e">
        <f>VLOOKUP(S9,'Company accounts'!$A$3:$I$4004,9,0)</f>
        <v>#N/A</v>
      </c>
      <c r="W9" s="261" t="e">
        <f t="shared" si="1"/>
        <v>#VALUE!</v>
      </c>
      <c r="X9" s="261"/>
      <c r="Y9" s="114" t="e">
        <f>VLOOKUP(S9,'Company accounts'!$A$3:$I$4004,6,0)</f>
        <v>#N/A</v>
      </c>
      <c r="Z9" s="130">
        <f ca="1">'Company accounts'!$K$693</f>
        <v>46253</v>
      </c>
    </row>
    <row r="10" spans="1:27" ht="15" customHeight="1" x14ac:dyDescent="0.25">
      <c r="A10" s="16">
        <f>'Company accounts'!N703</f>
        <v>0</v>
      </c>
      <c r="B10" s="261" t="e">
        <f>VLOOKUP(A10,'Company accounts'!$A$3:$I$4004,6,0)</f>
        <v>#N/A</v>
      </c>
      <c r="C10" s="261"/>
      <c r="D10" s="261"/>
      <c r="E10" s="16" t="e">
        <f>VLOOKUP(Transfer!A10,'Company accounts'!$A$3:$I$4004,5,0)</f>
        <v>#N/A</v>
      </c>
      <c r="F10" s="16" t="e">
        <f>VLOOKUP(Transfer!A10,'Company accounts'!$A$3:$I$4004,2,0)</f>
        <v>#N/A</v>
      </c>
      <c r="G10" s="262" t="e">
        <f>VLOOKUP(Transfer!A10,'Company accounts'!$A$3:$I$4004,9,0)</f>
        <v>#N/A</v>
      </c>
      <c r="H10" s="262"/>
      <c r="J10" s="143">
        <f>'Company accounts'!M702</f>
        <v>0</v>
      </c>
      <c r="K10" s="16" t="s">
        <v>666</v>
      </c>
      <c r="L10" s="114" t="e">
        <f>VLOOKUP(J10,'Company accounts'!$A$3:$I$4004,6,0)</f>
        <v>#N/A</v>
      </c>
      <c r="M10" s="114" t="e">
        <f>VLOOKUP(J10,'Company accounts'!$A$3:$I$4004,5,0)</f>
        <v>#N/A</v>
      </c>
      <c r="N10" s="125" t="e">
        <f>VLOOKUP(J10,'Company accounts'!$A$3:$I$4004,9,0)</f>
        <v>#N/A</v>
      </c>
      <c r="O10" s="114" t="e">
        <f t="shared" si="2"/>
        <v>#VALUE!</v>
      </c>
      <c r="P10" s="16">
        <f>'Company accounts'!L702</f>
        <v>0</v>
      </c>
      <c r="Q10" s="16" t="e">
        <f>VLOOKUP(J10,'Company accounts'!$A$3:$I$4004,2,0)</f>
        <v>#N/A</v>
      </c>
      <c r="S10" s="16">
        <f>'Company accounts'!O703</f>
        <v>0</v>
      </c>
      <c r="T10" s="16">
        <f>'Company accounts'!P703</f>
        <v>0</v>
      </c>
      <c r="U10" s="16" t="e">
        <f>VLOOKUP(S10,'Company accounts'!$A$3:$I$4004,2,0)</f>
        <v>#N/A</v>
      </c>
      <c r="V10" s="125" t="e">
        <f>VLOOKUP(S10,'Company accounts'!$A$3:$I$4004,9,0)</f>
        <v>#N/A</v>
      </c>
      <c r="W10" s="261" t="e">
        <f t="shared" si="1"/>
        <v>#VALUE!</v>
      </c>
      <c r="X10" s="261"/>
      <c r="Y10" s="114" t="e">
        <f>VLOOKUP(S10,'Company accounts'!$A$3:$I$4004,6,0)</f>
        <v>#N/A</v>
      </c>
      <c r="Z10" s="130">
        <f ca="1">'Company accounts'!$K$693</f>
        <v>46253</v>
      </c>
    </row>
    <row r="11" spans="1:27" x14ac:dyDescent="0.25">
      <c r="A11" s="16">
        <f>'Company accounts'!N704</f>
        <v>0</v>
      </c>
      <c r="B11" s="261" t="e">
        <f>VLOOKUP(A11,'Company accounts'!$A$3:$I$4004,6,0)</f>
        <v>#N/A</v>
      </c>
      <c r="C11" s="261"/>
      <c r="D11" s="261"/>
      <c r="E11" s="16" t="e">
        <f>VLOOKUP(Transfer!A11,'Company accounts'!$A$3:$I$4004,5,0)</f>
        <v>#N/A</v>
      </c>
      <c r="F11" s="16" t="e">
        <f>VLOOKUP(Transfer!A11,'Company accounts'!$A$3:$I$4004,2,0)</f>
        <v>#N/A</v>
      </c>
      <c r="G11" s="262" t="e">
        <f>VLOOKUP(Transfer!A11,'Company accounts'!$A$3:$I$4004,9,0)</f>
        <v>#N/A</v>
      </c>
      <c r="H11" s="262"/>
      <c r="J11" s="143">
        <f>'Company accounts'!M703</f>
        <v>0</v>
      </c>
      <c r="K11" s="16" t="s">
        <v>666</v>
      </c>
      <c r="L11" s="114" t="e">
        <f>VLOOKUP(J11,'Company accounts'!$A$3:$I$4004,6,0)</f>
        <v>#N/A</v>
      </c>
      <c r="M11" s="114" t="e">
        <f>VLOOKUP(J11,'Company accounts'!$A$3:$I$4004,5,0)</f>
        <v>#N/A</v>
      </c>
      <c r="N11" s="125" t="e">
        <f>VLOOKUP(J11,'Company accounts'!$A$3:$I$4004,9,0)</f>
        <v>#N/A</v>
      </c>
      <c r="O11" s="114" t="e">
        <f t="shared" si="2"/>
        <v>#VALUE!</v>
      </c>
      <c r="P11" s="16">
        <f>'Company accounts'!L703</f>
        <v>0</v>
      </c>
      <c r="Q11" s="16" t="e">
        <f>VLOOKUP(J11,'Company accounts'!$A$3:$I$4004,2,0)</f>
        <v>#N/A</v>
      </c>
      <c r="S11" s="16">
        <f>'Company accounts'!O704</f>
        <v>0</v>
      </c>
      <c r="T11" s="16">
        <f>'Company accounts'!P704</f>
        <v>0</v>
      </c>
      <c r="U11" s="16" t="e">
        <f>VLOOKUP(S11,'Company accounts'!$A$3:$I$4004,2,0)</f>
        <v>#N/A</v>
      </c>
      <c r="V11" s="125" t="e">
        <f>VLOOKUP(S11,'Company accounts'!$A$3:$I$4004,9,0)</f>
        <v>#N/A</v>
      </c>
      <c r="W11" s="261" t="e">
        <f t="shared" si="1"/>
        <v>#VALUE!</v>
      </c>
      <c r="X11" s="261"/>
      <c r="Y11" s="114" t="e">
        <f>VLOOKUP(S11,'Company accounts'!$A$3:$I$4004,6,0)</f>
        <v>#N/A</v>
      </c>
      <c r="Z11" s="130">
        <f ca="1">'Company accounts'!$K$693</f>
        <v>46253</v>
      </c>
    </row>
    <row r="12" spans="1:27" x14ac:dyDescent="0.25">
      <c r="A12" s="16">
        <f>'Company accounts'!N705</f>
        <v>0</v>
      </c>
      <c r="B12" s="261" t="e">
        <f>VLOOKUP(A12,'Company accounts'!$A$3:$I$4004,6,0)</f>
        <v>#N/A</v>
      </c>
      <c r="C12" s="261"/>
      <c r="D12" s="261"/>
      <c r="E12" s="16" t="e">
        <f>VLOOKUP(Transfer!A12,'Company accounts'!$A$3:$I$4004,5,0)</f>
        <v>#N/A</v>
      </c>
      <c r="F12" s="16" t="e">
        <f>VLOOKUP(Transfer!A12,'Company accounts'!$A$3:$I$4004,2,0)</f>
        <v>#N/A</v>
      </c>
      <c r="G12" s="262" t="e">
        <f>VLOOKUP(Transfer!A12,'Company accounts'!$A$3:$I$4004,9,0)</f>
        <v>#N/A</v>
      </c>
      <c r="H12" s="262"/>
      <c r="J12" s="143">
        <f>'Company accounts'!M704</f>
        <v>0</v>
      </c>
      <c r="K12" s="16" t="s">
        <v>666</v>
      </c>
      <c r="L12" s="114" t="e">
        <f>VLOOKUP(J12,'Company accounts'!$A$3:$I$4004,6,0)</f>
        <v>#N/A</v>
      </c>
      <c r="M12" s="114" t="e">
        <f>VLOOKUP(J12,'Company accounts'!$A$3:$I$4004,5,0)</f>
        <v>#N/A</v>
      </c>
      <c r="N12" s="125" t="e">
        <f>VLOOKUP(J12,'Company accounts'!$A$3:$I$4004,9,0)</f>
        <v>#N/A</v>
      </c>
      <c r="O12" s="114" t="e">
        <f t="shared" si="2"/>
        <v>#VALUE!</v>
      </c>
      <c r="P12" s="16">
        <f>'Company accounts'!L704</f>
        <v>0</v>
      </c>
      <c r="Q12" s="16" t="e">
        <f>VLOOKUP(J12,'Company accounts'!$A$3:$I$4004,2,0)</f>
        <v>#N/A</v>
      </c>
      <c r="S12" s="16">
        <f>'Company accounts'!O705</f>
        <v>0</v>
      </c>
      <c r="T12" s="16">
        <f>'Company accounts'!P705</f>
        <v>0</v>
      </c>
      <c r="U12" s="16" t="e">
        <f>VLOOKUP(S12,'Company accounts'!$A$3:$I$4004,2,0)</f>
        <v>#N/A</v>
      </c>
      <c r="V12" s="125" t="e">
        <f>VLOOKUP(S12,'Company accounts'!$A$3:$I$4004,9,0)</f>
        <v>#N/A</v>
      </c>
      <c r="W12" s="261" t="e">
        <f t="shared" ref="W12:W13" si="3">NumberToText(V12,"","")</f>
        <v>#VALUE!</v>
      </c>
      <c r="X12" s="261"/>
      <c r="Y12" s="114" t="e">
        <f>VLOOKUP(S12,'Company accounts'!$A$3:$I$4004,6,0)</f>
        <v>#N/A</v>
      </c>
      <c r="Z12" s="130">
        <f ca="1">'Company accounts'!$K$693</f>
        <v>46253</v>
      </c>
    </row>
    <row r="13" spans="1:27" x14ac:dyDescent="0.25">
      <c r="A13" s="16">
        <f>'Company accounts'!N706</f>
        <v>0</v>
      </c>
      <c r="B13" s="261" t="e">
        <f>VLOOKUP(A13,'Company accounts'!$A$3:$I$4004,6,0)</f>
        <v>#N/A</v>
      </c>
      <c r="C13" s="261"/>
      <c r="D13" s="261"/>
      <c r="E13" s="16" t="e">
        <f>VLOOKUP(Transfer!A13,'Company accounts'!$A$3:$I$4004,5,0)</f>
        <v>#N/A</v>
      </c>
      <c r="F13" s="16" t="e">
        <f>VLOOKUP(Transfer!A13,'Company accounts'!$A$3:$I$4004,2,0)</f>
        <v>#N/A</v>
      </c>
      <c r="G13" s="262" t="e">
        <f>VLOOKUP(Transfer!A13,'Company accounts'!$A$3:$I$4004,9,0)</f>
        <v>#N/A</v>
      </c>
      <c r="H13" s="262"/>
      <c r="J13" s="143">
        <f>'Company accounts'!M705</f>
        <v>0</v>
      </c>
      <c r="K13" s="16" t="s">
        <v>666</v>
      </c>
      <c r="L13" s="114" t="e">
        <f>VLOOKUP(J13,'Company accounts'!$A$3:$I$4004,6,0)</f>
        <v>#N/A</v>
      </c>
      <c r="M13" s="114" t="e">
        <f>VLOOKUP(J13,'Company accounts'!$A$3:$I$4004,5,0)</f>
        <v>#N/A</v>
      </c>
      <c r="N13" s="125" t="e">
        <f>VLOOKUP(J13,'Company accounts'!$A$3:$I$4004,9,0)</f>
        <v>#N/A</v>
      </c>
      <c r="O13" s="114" t="e">
        <f t="shared" si="2"/>
        <v>#VALUE!</v>
      </c>
      <c r="P13" s="16">
        <f>'Company accounts'!L705</f>
        <v>0</v>
      </c>
      <c r="Q13" s="16" t="e">
        <f>VLOOKUP(J13,'Company accounts'!$A$3:$I$4004,2,0)</f>
        <v>#N/A</v>
      </c>
      <c r="S13" s="16">
        <f>'Company accounts'!O706</f>
        <v>0</v>
      </c>
      <c r="T13" s="16">
        <f>'Company accounts'!P706</f>
        <v>0</v>
      </c>
      <c r="U13" s="16" t="e">
        <f>VLOOKUP(S13,'Company accounts'!$A$3:$I$4004,2,0)</f>
        <v>#N/A</v>
      </c>
      <c r="V13" s="125" t="e">
        <f>VLOOKUP(S13,'Company accounts'!$A$3:$I$4004,9,0)</f>
        <v>#N/A</v>
      </c>
      <c r="W13" s="261" t="e">
        <f t="shared" si="3"/>
        <v>#VALUE!</v>
      </c>
      <c r="X13" s="261"/>
      <c r="Y13" s="114" t="e">
        <f>VLOOKUP(S13,'Company accounts'!$A$3:$I$4004,6,0)</f>
        <v>#N/A</v>
      </c>
      <c r="Z13" s="130">
        <f ca="1">'Company accounts'!$K$693</f>
        <v>46253</v>
      </c>
    </row>
    <row r="14" spans="1:27" x14ac:dyDescent="0.25">
      <c r="A14" s="16">
        <f>'Company accounts'!N707</f>
        <v>0</v>
      </c>
      <c r="B14" s="261" t="e">
        <f>VLOOKUP(A14,'Company accounts'!$A$3:$I$4004,6,0)</f>
        <v>#N/A</v>
      </c>
      <c r="C14" s="261"/>
      <c r="D14" s="261"/>
      <c r="E14" s="16" t="e">
        <f>VLOOKUP(Transfer!A14,'Company accounts'!$A$3:$I$4004,5,0)</f>
        <v>#N/A</v>
      </c>
      <c r="F14" s="16" t="e">
        <f>VLOOKUP(Transfer!A14,'Company accounts'!$A$3:$I$4004,2,0)</f>
        <v>#N/A</v>
      </c>
      <c r="G14" s="262" t="e">
        <f>VLOOKUP(Transfer!A14,'Company accounts'!$A$3:$I$4004,9,0)</f>
        <v>#N/A</v>
      </c>
      <c r="H14" s="262"/>
      <c r="J14" s="143">
        <f>'Company accounts'!M706</f>
        <v>0</v>
      </c>
      <c r="K14" s="16" t="s">
        <v>666</v>
      </c>
      <c r="L14" s="114" t="e">
        <f>VLOOKUP(J14,'Company accounts'!$A$3:$I$4004,6,0)</f>
        <v>#N/A</v>
      </c>
      <c r="M14" s="114" t="e">
        <f>VLOOKUP(J14,'Company accounts'!$A$3:$I$4004,5,0)</f>
        <v>#N/A</v>
      </c>
      <c r="N14" s="125" t="e">
        <f>VLOOKUP(J14,'Company accounts'!$A$3:$I$4004,9,0)</f>
        <v>#N/A</v>
      </c>
      <c r="O14" s="114" t="e">
        <f t="shared" si="2"/>
        <v>#VALUE!</v>
      </c>
      <c r="P14" s="16">
        <f>'Company accounts'!L706</f>
        <v>0</v>
      </c>
      <c r="Q14" s="16" t="e">
        <f>VLOOKUP(J14,'Company accounts'!$A$3:$I$4004,2,0)</f>
        <v>#N/A</v>
      </c>
      <c r="S14" s="16">
        <f>'Company accounts'!O707</f>
        <v>0</v>
      </c>
      <c r="T14" s="16">
        <f>'Company accounts'!P707</f>
        <v>0</v>
      </c>
      <c r="U14" s="16" t="e">
        <f>VLOOKUP(S14,'Company accounts'!$A$3:$I$4004,2,0)</f>
        <v>#N/A</v>
      </c>
      <c r="V14" s="125" t="e">
        <f>VLOOKUP(S14,'Company accounts'!$A$3:$I$4004,9,0)</f>
        <v>#N/A</v>
      </c>
      <c r="W14" s="261" t="e">
        <f t="shared" ref="W14" si="4">NumberToText(V14,"","")</f>
        <v>#VALUE!</v>
      </c>
      <c r="X14" s="261"/>
      <c r="Y14" s="114" t="e">
        <f>VLOOKUP(S14,'Company accounts'!$A$3:$I$4004,6,0)</f>
        <v>#N/A</v>
      </c>
      <c r="Z14" s="130">
        <f ca="1">'Company accounts'!$K$693</f>
        <v>46253</v>
      </c>
    </row>
    <row r="15" spans="1:27" x14ac:dyDescent="0.25">
      <c r="A15" s="16">
        <f>'Company accounts'!N708</f>
        <v>0</v>
      </c>
      <c r="B15" s="261" t="e">
        <f>VLOOKUP(A15,'Company accounts'!$A$3:$I$4004,6,0)</f>
        <v>#N/A</v>
      </c>
      <c r="C15" s="261"/>
      <c r="D15" s="261"/>
      <c r="E15" s="16" t="e">
        <f>VLOOKUP(Transfer!A15,'Company accounts'!$A$3:$I$4004,5,0)</f>
        <v>#N/A</v>
      </c>
      <c r="F15" s="16" t="e">
        <f>VLOOKUP(Transfer!A15,'Company accounts'!$A$3:$I$4004,2,0)</f>
        <v>#N/A</v>
      </c>
      <c r="G15" s="262" t="e">
        <f>VLOOKUP(Transfer!A15,'Company accounts'!$A$3:$I$4004,9,0)</f>
        <v>#N/A</v>
      </c>
      <c r="H15" s="262"/>
      <c r="J15" s="143">
        <f>'Company accounts'!M707</f>
        <v>0</v>
      </c>
      <c r="K15" s="16" t="s">
        <v>666</v>
      </c>
      <c r="L15" s="114" t="e">
        <f>VLOOKUP(J15,'Company accounts'!$A$3:$I$4004,6,0)</f>
        <v>#N/A</v>
      </c>
      <c r="M15" s="114" t="e">
        <f>VLOOKUP(J15,'Company accounts'!$A$3:$I$4004,5,0)</f>
        <v>#N/A</v>
      </c>
      <c r="N15" s="125" t="e">
        <f>VLOOKUP(J15,'Company accounts'!$A$3:$I$4004,9,0)</f>
        <v>#N/A</v>
      </c>
      <c r="O15" s="114" t="e">
        <f>NumberToText(N15,"د. ع","الف")</f>
        <v>#VALUE!</v>
      </c>
      <c r="P15" s="16">
        <f>'Company accounts'!L707</f>
        <v>0</v>
      </c>
      <c r="Q15" s="16" t="e">
        <f>VLOOKUP(J15,'Company accounts'!$A$3:$I$4004,2,0)</f>
        <v>#N/A</v>
      </c>
      <c r="S15" s="16">
        <f>'Company accounts'!O708</f>
        <v>0</v>
      </c>
      <c r="T15" s="16">
        <f>'Company accounts'!P708</f>
        <v>0</v>
      </c>
      <c r="U15" s="16" t="e">
        <f>VLOOKUP(S15,'Company accounts'!$A$3:$I$4004,2,0)</f>
        <v>#N/A</v>
      </c>
      <c r="V15" s="125" t="e">
        <f>VLOOKUP(S15,'Company accounts'!$A$3:$I$4004,9,0)</f>
        <v>#N/A</v>
      </c>
      <c r="W15" s="261" t="e">
        <f t="shared" ref="W15:W18" si="5">NumberToText(V15,"","")</f>
        <v>#VALUE!</v>
      </c>
      <c r="X15" s="261"/>
      <c r="Y15" s="114" t="e">
        <f>VLOOKUP(S15,'Company accounts'!$A$3:$I$4004,6,0)</f>
        <v>#N/A</v>
      </c>
      <c r="Z15" s="130">
        <f ca="1">'Company accounts'!$K$693</f>
        <v>46253</v>
      </c>
    </row>
    <row r="16" spans="1:27" x14ac:dyDescent="0.25">
      <c r="A16" s="16">
        <f>'Company accounts'!N709</f>
        <v>0</v>
      </c>
      <c r="B16" s="261" t="e">
        <f>VLOOKUP(A16,'Company accounts'!$A$3:$I$4004,6,0)</f>
        <v>#N/A</v>
      </c>
      <c r="C16" s="261"/>
      <c r="D16" s="261"/>
      <c r="E16" s="16" t="e">
        <f>VLOOKUP(Transfer!A16,'Company accounts'!$A$3:$I$4004,5,0)</f>
        <v>#N/A</v>
      </c>
      <c r="F16" s="16" t="e">
        <f>VLOOKUP(Transfer!A16,'Company accounts'!$A$3:$I$4004,2,0)</f>
        <v>#N/A</v>
      </c>
      <c r="G16" s="262" t="e">
        <f>VLOOKUP(Transfer!A16,'Company accounts'!$A$3:$I$4004,9,0)</f>
        <v>#N/A</v>
      </c>
      <c r="H16" s="262"/>
      <c r="J16" s="143">
        <f>'Company accounts'!M708</f>
        <v>0</v>
      </c>
      <c r="K16" s="16" t="s">
        <v>666</v>
      </c>
      <c r="L16" s="114" t="e">
        <f>VLOOKUP(J16,'Company accounts'!$A$3:$I$4004,6,0)</f>
        <v>#N/A</v>
      </c>
      <c r="M16" s="114" t="e">
        <f>VLOOKUP(J16,'Company accounts'!$A$3:$I$4004,5,0)</f>
        <v>#N/A</v>
      </c>
      <c r="N16" s="125" t="e">
        <f>VLOOKUP(J16,'Company accounts'!$A$3:$I$4004,9,0)</f>
        <v>#N/A</v>
      </c>
      <c r="O16" s="114" t="e">
        <f t="shared" ref="O16" si="6">NumberToText(N16,"د. ع","الف")</f>
        <v>#VALUE!</v>
      </c>
      <c r="P16" s="16">
        <f>'Company accounts'!L708</f>
        <v>0</v>
      </c>
      <c r="Q16" s="16" t="e">
        <f>VLOOKUP(J16,'Company accounts'!$A$3:$I$4004,2,0)</f>
        <v>#N/A</v>
      </c>
      <c r="S16" s="16">
        <f>'Company accounts'!O709</f>
        <v>0</v>
      </c>
      <c r="T16" s="16">
        <f>'Company accounts'!P709</f>
        <v>0</v>
      </c>
      <c r="U16" s="16" t="e">
        <f>VLOOKUP(S16,'Company accounts'!$A$3:$I$4004,2,0)</f>
        <v>#N/A</v>
      </c>
      <c r="V16" s="125" t="e">
        <f>VLOOKUP(S16,'Company accounts'!$A$3:$I$4004,9,0)</f>
        <v>#N/A</v>
      </c>
      <c r="W16" s="261" t="e">
        <f t="shared" si="5"/>
        <v>#VALUE!</v>
      </c>
      <c r="X16" s="261"/>
      <c r="Y16" s="114" t="e">
        <f>VLOOKUP(S16,'Company accounts'!$A$3:$I$4004,6,0)</f>
        <v>#N/A</v>
      </c>
      <c r="Z16" s="130">
        <f ca="1">'Company accounts'!$K$693</f>
        <v>46253</v>
      </c>
    </row>
    <row r="17" spans="1:26" x14ac:dyDescent="0.25">
      <c r="A17" s="16">
        <f>'Company accounts'!N710</f>
        <v>0</v>
      </c>
      <c r="B17" s="261" t="e">
        <f>VLOOKUP(A17,'Company accounts'!$A$3:$I$4004,6,0)</f>
        <v>#N/A</v>
      </c>
      <c r="C17" s="261"/>
      <c r="D17" s="261"/>
      <c r="E17" s="16" t="e">
        <f>VLOOKUP(Transfer!A17,'Company accounts'!$A$3:$I$4004,5,0)</f>
        <v>#N/A</v>
      </c>
      <c r="F17" s="16" t="e">
        <f>VLOOKUP(Transfer!A17,'Company accounts'!$A$3:$I$4004,2,0)</f>
        <v>#N/A</v>
      </c>
      <c r="G17" s="262" t="e">
        <f>VLOOKUP(Transfer!A17,'Company accounts'!$A$3:$I$4004,9,0)</f>
        <v>#N/A</v>
      </c>
      <c r="H17" s="262"/>
      <c r="J17" s="143">
        <f>'Company accounts'!M709</f>
        <v>0</v>
      </c>
      <c r="K17" s="16" t="s">
        <v>666</v>
      </c>
      <c r="L17" s="114" t="e">
        <f>VLOOKUP(J17,'Company accounts'!$A$3:$I$4004,6,0)</f>
        <v>#N/A</v>
      </c>
      <c r="M17" s="114" t="e">
        <f>VLOOKUP(J17,'Company accounts'!$A$3:$I$4004,5,0)</f>
        <v>#N/A</v>
      </c>
      <c r="N17" s="125" t="e">
        <f>VLOOKUP(J17,'Company accounts'!$A$3:$I$4004,9,0)</f>
        <v>#N/A</v>
      </c>
      <c r="O17" s="114" t="e">
        <f>NumberToText(N17,"د. ع","الف")</f>
        <v>#VALUE!</v>
      </c>
      <c r="P17" s="16">
        <f>'Company accounts'!L709</f>
        <v>0</v>
      </c>
      <c r="Q17" s="16" t="e">
        <f>VLOOKUP(J17,'Company accounts'!$A$3:$I$4004,2,0)</f>
        <v>#N/A</v>
      </c>
      <c r="S17" s="16">
        <f>'Company accounts'!O710</f>
        <v>0</v>
      </c>
      <c r="T17" s="16">
        <f>'Company accounts'!P710</f>
        <v>0</v>
      </c>
      <c r="U17" s="16" t="e">
        <f>VLOOKUP(S17,'Company accounts'!$A$3:$I$4004,2,0)</f>
        <v>#N/A</v>
      </c>
      <c r="V17" s="125" t="e">
        <f>VLOOKUP(S17,'Company accounts'!$A$3:$I$4004,9,0)</f>
        <v>#N/A</v>
      </c>
      <c r="W17" s="261" t="e">
        <f t="shared" si="5"/>
        <v>#VALUE!</v>
      </c>
      <c r="X17" s="261"/>
      <c r="Y17" s="114" t="e">
        <f>VLOOKUP(S17,'Company accounts'!$A$3:$I$4004,6,0)</f>
        <v>#N/A</v>
      </c>
      <c r="Z17" s="130">
        <f ca="1">'Company accounts'!$K$693</f>
        <v>46253</v>
      </c>
    </row>
    <row r="18" spans="1:26" x14ac:dyDescent="0.25">
      <c r="A18" s="16">
        <f>'Company accounts'!N711</f>
        <v>0</v>
      </c>
      <c r="B18" s="261" t="e">
        <f>VLOOKUP(A18,'Company accounts'!$A$3:$I$4004,6,0)</f>
        <v>#N/A</v>
      </c>
      <c r="C18" s="261"/>
      <c r="D18" s="261"/>
      <c r="E18" s="16" t="e">
        <f>VLOOKUP(Transfer!A18,'Company accounts'!$A$3:$I$4004,5,0)</f>
        <v>#N/A</v>
      </c>
      <c r="F18" s="16" t="e">
        <f>VLOOKUP(Transfer!A18,'Company accounts'!$A$3:$I$4004,2,0)</f>
        <v>#N/A</v>
      </c>
      <c r="G18" s="262" t="e">
        <f>VLOOKUP(Transfer!A18,'Company accounts'!$A$3:$I$4004,9,0)</f>
        <v>#N/A</v>
      </c>
      <c r="H18" s="262"/>
      <c r="J18" s="143">
        <f>'Company accounts'!M710</f>
        <v>0</v>
      </c>
      <c r="K18" s="16" t="s">
        <v>666</v>
      </c>
      <c r="L18" s="114" t="e">
        <f>VLOOKUP(J18,'Company accounts'!$A$3:$I$4004,6,0)</f>
        <v>#N/A</v>
      </c>
      <c r="M18" s="114" t="e">
        <f>VLOOKUP(J18,'Company accounts'!$A$3:$I$4004,5,0)</f>
        <v>#N/A</v>
      </c>
      <c r="N18" s="125" t="e">
        <f>VLOOKUP(J18,'Company accounts'!$A$3:$I$4004,9,0)</f>
        <v>#N/A</v>
      </c>
      <c r="O18" s="114" t="e">
        <f t="shared" ref="O18:O25" si="7">NumberToText(N18,"د. ع","الف")</f>
        <v>#VALUE!</v>
      </c>
      <c r="P18" s="16">
        <f>'Company accounts'!L710</f>
        <v>0</v>
      </c>
      <c r="Q18" s="16" t="e">
        <f>VLOOKUP(J18,'Company accounts'!$A$3:$I$4004,2,0)</f>
        <v>#N/A</v>
      </c>
      <c r="S18" s="16">
        <f>'Company accounts'!O711</f>
        <v>0</v>
      </c>
      <c r="T18" s="16">
        <f>'Company accounts'!P711</f>
        <v>0</v>
      </c>
      <c r="U18" s="16" t="e">
        <f>VLOOKUP(S18,'Company accounts'!$A$3:$I$4004,2,0)</f>
        <v>#N/A</v>
      </c>
      <c r="V18" s="125" t="e">
        <f>VLOOKUP(S18,'Company accounts'!$A$3:$I$4004,9,0)</f>
        <v>#N/A</v>
      </c>
      <c r="W18" s="261" t="e">
        <f t="shared" si="5"/>
        <v>#VALUE!</v>
      </c>
      <c r="X18" s="261"/>
      <c r="Y18" s="114" t="e">
        <f>VLOOKUP(S18,'Company accounts'!$A$3:$I$4004,6,0)</f>
        <v>#N/A</v>
      </c>
      <c r="Z18" s="130">
        <f ca="1">'Company accounts'!$K$693</f>
        <v>46253</v>
      </c>
    </row>
    <row r="19" spans="1:26" x14ac:dyDescent="0.25">
      <c r="A19" s="16">
        <f>'Company accounts'!N712</f>
        <v>0</v>
      </c>
      <c r="B19" s="261" t="e">
        <f>VLOOKUP(A19,'Company accounts'!$A$3:$I$4004,6,0)</f>
        <v>#N/A</v>
      </c>
      <c r="C19" s="261"/>
      <c r="D19" s="261"/>
      <c r="E19" s="16" t="e">
        <f>VLOOKUP(Transfer!A19,'Company accounts'!$A$3:$I$4004,5,0)</f>
        <v>#N/A</v>
      </c>
      <c r="F19" s="16" t="e">
        <f>VLOOKUP(Transfer!A19,'Company accounts'!$A$3:$I$4004,2,0)</f>
        <v>#N/A</v>
      </c>
      <c r="G19" s="262" t="e">
        <f>VLOOKUP(Transfer!A19,'Company accounts'!$A$3:$I$4004,9,0)</f>
        <v>#N/A</v>
      </c>
      <c r="H19" s="262"/>
      <c r="J19" s="143">
        <f>'Company accounts'!M711</f>
        <v>0</v>
      </c>
      <c r="K19" s="16" t="s">
        <v>666</v>
      </c>
      <c r="L19" s="114" t="e">
        <f>VLOOKUP(J19,'Company accounts'!$A$3:$I$4004,6,0)</f>
        <v>#N/A</v>
      </c>
      <c r="M19" s="114" t="e">
        <f>VLOOKUP(J19,'Company accounts'!$A$3:$I$4004,5,0)</f>
        <v>#N/A</v>
      </c>
      <c r="N19" s="125" t="e">
        <f>VLOOKUP(J19,'Company accounts'!$A$3:$I$4004,9,0)</f>
        <v>#N/A</v>
      </c>
      <c r="O19" s="114" t="e">
        <f t="shared" ref="O19:O21" si="8">NumberToText(N19,"د. ع","الف")</f>
        <v>#VALUE!</v>
      </c>
      <c r="P19" s="16">
        <f>'Company accounts'!L711</f>
        <v>0</v>
      </c>
      <c r="Q19" s="16" t="e">
        <f>VLOOKUP(J19,'Company accounts'!$A$3:$I$4004,2,0)</f>
        <v>#N/A</v>
      </c>
    </row>
    <row r="20" spans="1:26" x14ac:dyDescent="0.25">
      <c r="A20" s="16" t="e">
        <f>'Company accounts'!#REF!</f>
        <v>#REF!</v>
      </c>
      <c r="B20" s="261" t="e">
        <f>VLOOKUP(A20,'Company accounts'!$A$3:$I$4004,6,0)</f>
        <v>#REF!</v>
      </c>
      <c r="C20" s="261"/>
      <c r="D20" s="261"/>
      <c r="E20" s="16" t="e">
        <f>VLOOKUP(Transfer!A20,'Company accounts'!$A$3:$I$4004,5,0)</f>
        <v>#REF!</v>
      </c>
      <c r="F20" s="16" t="e">
        <f>VLOOKUP(Transfer!A20,'Company accounts'!$A$3:$I$4004,2,0)</f>
        <v>#REF!</v>
      </c>
      <c r="G20" s="262" t="e">
        <f>VLOOKUP(Transfer!A20,'Company accounts'!$A$3:$I$4004,9,0)</f>
        <v>#REF!</v>
      </c>
      <c r="H20" s="262"/>
      <c r="J20" s="143">
        <f ca="1">'Company accounts'!M712</f>
        <v>46253</v>
      </c>
      <c r="K20" s="16" t="s">
        <v>666</v>
      </c>
      <c r="L20" s="114" t="e">
        <f ca="1">VLOOKUP(J20,'Company accounts'!$A$3:$I$4004,6,0)</f>
        <v>#N/A</v>
      </c>
      <c r="M20" s="114" t="e">
        <f ca="1">VLOOKUP(J20,'Company accounts'!$A$3:$I$4004,5,0)</f>
        <v>#N/A</v>
      </c>
      <c r="N20" s="125" t="e">
        <f ca="1">VLOOKUP(J20,'Company accounts'!$A$3:$I$4004,9,0)</f>
        <v>#N/A</v>
      </c>
      <c r="O20" s="114" t="e">
        <f t="shared" ca="1" si="8"/>
        <v>#VALUE!</v>
      </c>
      <c r="P20" s="16">
        <f>'Company accounts'!L712</f>
        <v>0</v>
      </c>
      <c r="Q20" s="16" t="e">
        <f ca="1">VLOOKUP(J20,'Company accounts'!$A$3:$I$4004,2,0)</f>
        <v>#N/A</v>
      </c>
    </row>
    <row r="21" spans="1:26" x14ac:dyDescent="0.25">
      <c r="A21" s="16" t="e">
        <f>'Company accounts'!#REF!</f>
        <v>#REF!</v>
      </c>
      <c r="B21" s="261" t="e">
        <f>VLOOKUP(A21,'Company accounts'!$A$3:$I$4004,6,0)</f>
        <v>#REF!</v>
      </c>
      <c r="C21" s="261"/>
      <c r="D21" s="261"/>
      <c r="E21" s="16" t="e">
        <f>VLOOKUP(Transfer!A21,'Company accounts'!$A$3:$I$4004,5,0)</f>
        <v>#REF!</v>
      </c>
      <c r="F21" s="16" t="e">
        <f>VLOOKUP(Transfer!A21,'Company accounts'!$A$3:$I$4004,2,0)</f>
        <v>#REF!</v>
      </c>
      <c r="G21" s="262" t="e">
        <f>VLOOKUP(Transfer!A21,'Company accounts'!$A$3:$I$4004,9,0)</f>
        <v>#REF!</v>
      </c>
      <c r="H21" s="262"/>
      <c r="J21" s="143">
        <f>'Company accounts'!M493</f>
        <v>0</v>
      </c>
      <c r="K21" s="16" t="s">
        <v>666</v>
      </c>
      <c r="L21" s="114" t="e">
        <f>VLOOKUP(J21,'Company accounts'!$A$3:$I$4004,6,0)</f>
        <v>#N/A</v>
      </c>
      <c r="M21" s="114" t="e">
        <f>VLOOKUP(J21,'Company accounts'!$A$3:$I$4004,5,0)</f>
        <v>#N/A</v>
      </c>
      <c r="N21" s="125" t="e">
        <f>VLOOKUP(J21,'Company accounts'!$A$3:$I$4004,9,0)</f>
        <v>#N/A</v>
      </c>
      <c r="O21" s="114" t="e">
        <f t="shared" si="8"/>
        <v>#VALUE!</v>
      </c>
      <c r="P21" s="16">
        <f>'Company accounts'!L493</f>
        <v>0</v>
      </c>
      <c r="Q21" s="16" t="e">
        <f>VLOOKUP(J21,'Company accounts'!$A$3:$I$4004,2,0)</f>
        <v>#N/A</v>
      </c>
    </row>
    <row r="22" spans="1:26" x14ac:dyDescent="0.25">
      <c r="A22" s="16" t="e">
        <f>'Company accounts'!#REF!</f>
        <v>#REF!</v>
      </c>
      <c r="B22" s="261" t="e">
        <f>VLOOKUP(A22,'Company accounts'!$A$3:$I$4004,6,0)</f>
        <v>#REF!</v>
      </c>
      <c r="C22" s="261"/>
      <c r="D22" s="261"/>
      <c r="E22" s="16" t="e">
        <f>VLOOKUP(Transfer!A22,'Company accounts'!$A$3:$I$4004,5,0)</f>
        <v>#REF!</v>
      </c>
      <c r="F22" s="16" t="e">
        <f>VLOOKUP(Transfer!A22,'Company accounts'!$A$3:$I$4004,2,0)</f>
        <v>#REF!</v>
      </c>
      <c r="G22" s="262" t="e">
        <f>VLOOKUP(Transfer!A22,'Company accounts'!$A$3:$I$4004,9,0)</f>
        <v>#REF!</v>
      </c>
      <c r="H22" s="262"/>
      <c r="J22" s="143" t="e">
        <f>'Company accounts'!#REF!</f>
        <v>#REF!</v>
      </c>
      <c r="K22" s="16" t="s">
        <v>666</v>
      </c>
      <c r="L22" s="114" t="e">
        <f>VLOOKUP(J22,'Company accounts'!$A$3:$I$4004,6,0)</f>
        <v>#REF!</v>
      </c>
      <c r="M22" s="114" t="e">
        <f>VLOOKUP(J22,'Company accounts'!$A$3:$I$4004,5,0)</f>
        <v>#REF!</v>
      </c>
      <c r="N22" s="125" t="e">
        <f>VLOOKUP(J22,'Company accounts'!$A$3:$I$4004,9,0)</f>
        <v>#REF!</v>
      </c>
      <c r="O22" s="114" t="e">
        <f t="shared" si="7"/>
        <v>#VALUE!</v>
      </c>
      <c r="P22" s="16" t="e">
        <f>'Company accounts'!#REF!</f>
        <v>#REF!</v>
      </c>
      <c r="Q22" s="16" t="e">
        <f>VLOOKUP(J22,'Company accounts'!$A$3:$I$4004,2,0)</f>
        <v>#REF!</v>
      </c>
    </row>
    <row r="23" spans="1:26" x14ac:dyDescent="0.25">
      <c r="A23" s="16" t="e">
        <f>'Company accounts'!#REF!</f>
        <v>#REF!</v>
      </c>
      <c r="B23" s="261" t="e">
        <f>VLOOKUP(A23,'Company accounts'!$A$3:$I$4004,6,0)</f>
        <v>#REF!</v>
      </c>
      <c r="C23" s="261"/>
      <c r="D23" s="261"/>
      <c r="E23" s="16" t="e">
        <f>VLOOKUP(Transfer!A23,'Company accounts'!$A$3:$I$4004,5,0)</f>
        <v>#REF!</v>
      </c>
      <c r="F23" s="16" t="e">
        <f>VLOOKUP(Transfer!A23,'Company accounts'!$A$3:$I$4004,2,0)</f>
        <v>#REF!</v>
      </c>
      <c r="G23" s="262" t="e">
        <f>VLOOKUP(Transfer!A23,'Company accounts'!$A$3:$I$4004,9,0)</f>
        <v>#REF!</v>
      </c>
      <c r="H23" s="262"/>
      <c r="J23" s="143" t="e">
        <f>'Company accounts'!#REF!</f>
        <v>#REF!</v>
      </c>
      <c r="K23" s="16" t="s">
        <v>666</v>
      </c>
      <c r="L23" s="114" t="e">
        <f>VLOOKUP(J23,'Company accounts'!$A$3:$I$4004,6,0)</f>
        <v>#REF!</v>
      </c>
      <c r="M23" s="114" t="e">
        <f>VLOOKUP(J23,'Company accounts'!$A$3:$I$4004,5,0)</f>
        <v>#REF!</v>
      </c>
      <c r="N23" s="125" t="e">
        <f>VLOOKUP(J23,'Company accounts'!$A$3:$I$4004,9,0)</f>
        <v>#REF!</v>
      </c>
      <c r="O23" s="114" t="e">
        <f t="shared" si="7"/>
        <v>#VALUE!</v>
      </c>
      <c r="P23" s="16" t="e">
        <f>'Company accounts'!#REF!</f>
        <v>#REF!</v>
      </c>
      <c r="Q23" s="16" t="e">
        <f>VLOOKUP(J23,'Company accounts'!$A$3:$I$4004,2,0)</f>
        <v>#REF!</v>
      </c>
    </row>
    <row r="24" spans="1:26" x14ac:dyDescent="0.25">
      <c r="A24" s="16" t="e">
        <f>'Company accounts'!#REF!</f>
        <v>#REF!</v>
      </c>
      <c r="B24" s="261" t="e">
        <f>VLOOKUP(A24,'Company accounts'!$A$3:$I$4004,6,0)</f>
        <v>#REF!</v>
      </c>
      <c r="C24" s="261"/>
      <c r="D24" s="261"/>
      <c r="E24" s="16" t="e">
        <f>VLOOKUP(Transfer!A24,'Company accounts'!$A$3:$I$4004,5,0)</f>
        <v>#REF!</v>
      </c>
      <c r="F24" s="16" t="e">
        <f>VLOOKUP(Transfer!A24,'Company accounts'!$A$3:$I$4004,2,0)</f>
        <v>#REF!</v>
      </c>
      <c r="G24" s="262" t="e">
        <f>VLOOKUP(Transfer!A24,'Company accounts'!$A$3:$I$4004,9,0)</f>
        <v>#REF!</v>
      </c>
      <c r="H24" s="262"/>
      <c r="J24" s="143" t="e">
        <f>'Company accounts'!#REF!</f>
        <v>#REF!</v>
      </c>
      <c r="K24" s="16" t="s">
        <v>666</v>
      </c>
      <c r="L24" s="114" t="e">
        <f>VLOOKUP(J24,'Company accounts'!$A$3:$I$4004,6,0)</f>
        <v>#REF!</v>
      </c>
      <c r="M24" s="114" t="e">
        <f>VLOOKUP(J24,'Company accounts'!$A$3:$I$4004,5,0)</f>
        <v>#REF!</v>
      </c>
      <c r="N24" s="125" t="e">
        <f>VLOOKUP(J24,'Company accounts'!$A$3:$I$4004,9,0)</f>
        <v>#REF!</v>
      </c>
      <c r="O24" s="114" t="e">
        <f t="shared" si="7"/>
        <v>#VALUE!</v>
      </c>
      <c r="P24" s="16" t="e">
        <f>'Company accounts'!#REF!</f>
        <v>#REF!</v>
      </c>
      <c r="Q24" s="16" t="e">
        <f>VLOOKUP(J24,'Company accounts'!$A$3:$I$4004,2,0)</f>
        <v>#REF!</v>
      </c>
    </row>
    <row r="25" spans="1:26" x14ac:dyDescent="0.25">
      <c r="J25" s="143" t="e">
        <f>'Company accounts'!#REF!</f>
        <v>#REF!</v>
      </c>
      <c r="K25" s="16" t="s">
        <v>666</v>
      </c>
      <c r="L25" s="114" t="e">
        <f>VLOOKUP(J25,'Company accounts'!$A$3:$I$4004,6,0)</f>
        <v>#REF!</v>
      </c>
      <c r="M25" s="114" t="e">
        <f>VLOOKUP(J25,'Company accounts'!$A$3:$I$4004,5,0)</f>
        <v>#REF!</v>
      </c>
      <c r="N25" s="125" t="e">
        <f>VLOOKUP(J25,'Company accounts'!$A$3:$I$4004,9,0)</f>
        <v>#REF!</v>
      </c>
      <c r="O25" s="114" t="e">
        <f t="shared" si="7"/>
        <v>#VALUE!</v>
      </c>
      <c r="P25" s="16" t="e">
        <f>'Company accounts'!#REF!</f>
        <v>#REF!</v>
      </c>
      <c r="Q25" s="16" t="e">
        <f>VLOOKUP(J25,'Company accounts'!$A$3:$I$4004,2,0)</f>
        <v>#REF!</v>
      </c>
    </row>
    <row r="26" spans="1:26" x14ac:dyDescent="0.25">
      <c r="J26" s="143" t="e">
        <f>'Company accounts'!#REF!</f>
        <v>#REF!</v>
      </c>
      <c r="K26" s="16" t="s">
        <v>666</v>
      </c>
      <c r="L26" s="114" t="e">
        <f>VLOOKUP(J26,'Company accounts'!$A$3:$I$4004,6,0)</f>
        <v>#REF!</v>
      </c>
      <c r="M26" s="114" t="e">
        <f>VLOOKUP(J26,'Company accounts'!$A$3:$I$4004,5,0)</f>
        <v>#REF!</v>
      </c>
      <c r="N26" s="125" t="e">
        <f>VLOOKUP(J26,'Company accounts'!$A$3:$I$4004,9,0)</f>
        <v>#REF!</v>
      </c>
      <c r="O26" s="114" t="e">
        <f t="shared" ref="O26" si="9">NumberToText(N26,"د. ع","الف")</f>
        <v>#VALUE!</v>
      </c>
      <c r="P26" s="16" t="e">
        <f>'Company accounts'!#REF!</f>
        <v>#REF!</v>
      </c>
      <c r="Q26" s="16" t="e">
        <f>VLOOKUP(J26,'Company accounts'!$A$3:$I$4004,2,0)</f>
        <v>#REF!</v>
      </c>
    </row>
    <row r="38" spans="5:5" x14ac:dyDescent="0.25">
      <c r="E38" t="s">
        <v>1944</v>
      </c>
    </row>
  </sheetData>
  <mergeCells count="67">
    <mergeCell ref="W3:X3"/>
    <mergeCell ref="W4:X4"/>
    <mergeCell ref="W5:X5"/>
    <mergeCell ref="M1:N1"/>
    <mergeCell ref="G1:H1"/>
    <mergeCell ref="G2:H2"/>
    <mergeCell ref="W2:X2"/>
    <mergeCell ref="W1:X1"/>
    <mergeCell ref="B5:D5"/>
    <mergeCell ref="G5:H5"/>
    <mergeCell ref="B6:D6"/>
    <mergeCell ref="G6:H6"/>
    <mergeCell ref="B7:D7"/>
    <mergeCell ref="G7:H7"/>
    <mergeCell ref="B1:D1"/>
    <mergeCell ref="B2:D2"/>
    <mergeCell ref="B3:D3"/>
    <mergeCell ref="G3:H3"/>
    <mergeCell ref="B4:D4"/>
    <mergeCell ref="G4:H4"/>
    <mergeCell ref="W15:X15"/>
    <mergeCell ref="B11:D11"/>
    <mergeCell ref="G11:H11"/>
    <mergeCell ref="W6:X6"/>
    <mergeCell ref="W7:X7"/>
    <mergeCell ref="W8:X8"/>
    <mergeCell ref="W9:X9"/>
    <mergeCell ref="W10:X10"/>
    <mergeCell ref="W11:X11"/>
    <mergeCell ref="G8:H8"/>
    <mergeCell ref="B9:D9"/>
    <mergeCell ref="G9:H9"/>
    <mergeCell ref="B10:D10"/>
    <mergeCell ref="G10:H10"/>
    <mergeCell ref="B8:D8"/>
    <mergeCell ref="G20:H20"/>
    <mergeCell ref="W12:X12"/>
    <mergeCell ref="W13:X13"/>
    <mergeCell ref="W14:X14"/>
    <mergeCell ref="B17:D17"/>
    <mergeCell ref="G17:H17"/>
    <mergeCell ref="B14:D14"/>
    <mergeCell ref="G14:H14"/>
    <mergeCell ref="B15:D15"/>
    <mergeCell ref="G15:H15"/>
    <mergeCell ref="B16:D16"/>
    <mergeCell ref="G16:H16"/>
    <mergeCell ref="B12:D12"/>
    <mergeCell ref="B13:D13"/>
    <mergeCell ref="G12:H12"/>
    <mergeCell ref="G13:H13"/>
    <mergeCell ref="W16:X16"/>
    <mergeCell ref="W17:X17"/>
    <mergeCell ref="W18:X18"/>
    <mergeCell ref="B24:D24"/>
    <mergeCell ref="G24:H24"/>
    <mergeCell ref="B21:D21"/>
    <mergeCell ref="G21:H21"/>
    <mergeCell ref="B22:D22"/>
    <mergeCell ref="G22:H22"/>
    <mergeCell ref="B23:D23"/>
    <mergeCell ref="G23:H23"/>
    <mergeCell ref="B18:D18"/>
    <mergeCell ref="G18:H18"/>
    <mergeCell ref="B19:D19"/>
    <mergeCell ref="G19:H19"/>
    <mergeCell ref="B20:D20"/>
  </mergeCells>
  <phoneticPr fontId="38" type="noConversion"/>
  <pageMargins left="0.7" right="0.7" top="0.75" bottom="0.75" header="0.3" footer="0.3"/>
  <pageSetup scale="42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CBE536-0206-4D9A-A343-175CFC7D667C}">
          <x14:formula1>
            <xm:f>'ابو مرتضى'!$AD$4:$AD$7</xm:f>
          </x14:formula1>
          <xm:sqref>K3:K26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D917-3A85-4416-B2C6-CB010A3CAECC}">
  <sheetPr codeName="Sheet6">
    <pageSetUpPr fitToPage="1"/>
  </sheetPr>
  <dimension ref="A1:Z125"/>
  <sheetViews>
    <sheetView rightToLeft="1" zoomScale="110" zoomScaleNormal="110" workbookViewId="0">
      <selection sqref="A1:G59"/>
    </sheetView>
  </sheetViews>
  <sheetFormatPr defaultRowHeight="15" x14ac:dyDescent="0.25"/>
  <cols>
    <col min="1" max="1" width="6.28515625" customWidth="1"/>
    <col min="2" max="2" width="7.42578125" customWidth="1"/>
    <col min="3" max="3" width="16.42578125" bestFit="1" customWidth="1"/>
    <col min="4" max="4" width="20.42578125" bestFit="1" customWidth="1"/>
    <col min="5" max="5" width="46.42578125" bestFit="1" customWidth="1"/>
    <col min="6" max="6" width="19.140625" customWidth="1"/>
    <col min="7" max="7" width="16.42578125" bestFit="1" customWidth="1"/>
    <col min="8" max="8" width="18" customWidth="1"/>
    <col min="9" max="9" width="27.42578125" bestFit="1" customWidth="1"/>
    <col min="10" max="10" width="4.140625" bestFit="1" customWidth="1"/>
    <col min="11" max="11" width="52.7109375" bestFit="1" customWidth="1"/>
    <col min="12" max="12" width="43.5703125" bestFit="1" customWidth="1"/>
    <col min="13" max="13" width="24.5703125" bestFit="1" customWidth="1"/>
    <col min="14" max="14" width="15.42578125" bestFit="1" customWidth="1"/>
    <col min="15" max="15" width="4" customWidth="1"/>
    <col min="16" max="16" width="5.5703125" bestFit="1" customWidth="1"/>
    <col min="17" max="17" width="5.140625" bestFit="1" customWidth="1"/>
    <col min="18" max="18" width="17.42578125" bestFit="1" customWidth="1"/>
    <col min="19" max="20" width="16.42578125" bestFit="1" customWidth="1"/>
    <col min="21" max="21" width="19.85546875" bestFit="1" customWidth="1"/>
    <col min="22" max="22" width="16.42578125" bestFit="1" customWidth="1"/>
    <col min="23" max="23" width="3.7109375" customWidth="1"/>
    <col min="24" max="24" width="5.140625" bestFit="1" customWidth="1"/>
    <col min="25" max="25" width="17.7109375" bestFit="1" customWidth="1"/>
    <col min="26" max="26" width="16.42578125" bestFit="1" customWidth="1"/>
  </cols>
  <sheetData>
    <row r="1" spans="1:26" x14ac:dyDescent="0.25">
      <c r="A1" s="359" t="s">
        <v>1970</v>
      </c>
      <c r="B1" s="359"/>
      <c r="C1" s="359"/>
      <c r="D1" s="359"/>
      <c r="E1" s="359"/>
      <c r="F1" s="361" t="s">
        <v>1974</v>
      </c>
      <c r="G1" s="362" t="s">
        <v>1975</v>
      </c>
      <c r="J1" s="229"/>
      <c r="K1" s="229"/>
      <c r="L1" s="242" t="s">
        <v>1896</v>
      </c>
      <c r="M1" s="224"/>
      <c r="N1" s="21"/>
      <c r="O1" s="270" t="s">
        <v>1417</v>
      </c>
      <c r="P1" s="271"/>
      <c r="Q1" s="271"/>
      <c r="R1" s="271"/>
      <c r="S1" s="272"/>
      <c r="T1" s="193" t="s">
        <v>967</v>
      </c>
      <c r="U1" s="203" t="s">
        <v>1453</v>
      </c>
      <c r="V1" s="124" t="s">
        <v>968</v>
      </c>
      <c r="W1" s="269" t="s">
        <v>1418</v>
      </c>
      <c r="X1" s="269"/>
      <c r="Y1" s="269"/>
      <c r="Z1" s="269"/>
    </row>
    <row r="2" spans="1:26" ht="20.25" thickBot="1" x14ac:dyDescent="0.3">
      <c r="A2" s="307" t="s">
        <v>1917</v>
      </c>
      <c r="B2" s="307"/>
      <c r="C2" s="307"/>
      <c r="D2" s="307"/>
      <c r="E2" s="358">
        <f>G2-F2</f>
        <v>3771000</v>
      </c>
      <c r="F2" s="360">
        <f>SUM(F4:F59)</f>
        <v>116229000</v>
      </c>
      <c r="G2" s="195">
        <f>SUM(G4:G59)</f>
        <v>120000000</v>
      </c>
      <c r="J2" s="185" t="s">
        <v>1372</v>
      </c>
      <c r="K2" s="198" t="s">
        <v>1373</v>
      </c>
      <c r="L2" s="198" t="s">
        <v>1423</v>
      </c>
      <c r="M2" s="198" t="s">
        <v>1424</v>
      </c>
      <c r="N2" s="21"/>
      <c r="O2" s="273"/>
      <c r="P2" s="274"/>
      <c r="Q2" s="274"/>
      <c r="R2" s="274"/>
      <c r="S2" s="275"/>
      <c r="T2" s="194">
        <f>SUM(S4:S13)</f>
        <v>166500000</v>
      </c>
      <c r="U2" s="206">
        <f>T2-V2</f>
        <v>25903000</v>
      </c>
      <c r="V2" s="190">
        <f>SUM(Z4:Z13)</f>
        <v>140597000</v>
      </c>
      <c r="W2" s="269"/>
      <c r="X2" s="269"/>
      <c r="Y2" s="269"/>
      <c r="Z2" s="269"/>
    </row>
    <row r="3" spans="1:26" ht="15.75" thickTop="1" x14ac:dyDescent="0.25">
      <c r="A3" s="355" t="s">
        <v>0</v>
      </c>
      <c r="B3" s="356" t="s">
        <v>238</v>
      </c>
      <c r="C3" s="356" t="s">
        <v>2</v>
      </c>
      <c r="D3" s="357" t="s">
        <v>4</v>
      </c>
      <c r="E3" s="355" t="s">
        <v>5</v>
      </c>
      <c r="F3" s="244" t="s">
        <v>1916</v>
      </c>
      <c r="G3" s="244" t="s">
        <v>1915</v>
      </c>
      <c r="J3" s="16">
        <v>1</v>
      </c>
      <c r="K3" s="114"/>
      <c r="L3" s="114"/>
      <c r="M3" s="114"/>
      <c r="O3" s="169" t="s">
        <v>0</v>
      </c>
      <c r="P3" s="192" t="s">
        <v>1419</v>
      </c>
      <c r="Q3" s="192" t="s">
        <v>615</v>
      </c>
      <c r="R3" s="169" t="s">
        <v>5</v>
      </c>
      <c r="S3" s="169" t="s">
        <v>7</v>
      </c>
      <c r="T3" s="186"/>
      <c r="U3" s="186"/>
      <c r="V3" s="186"/>
      <c r="W3" s="169" t="s">
        <v>0</v>
      </c>
      <c r="X3" s="192" t="s">
        <v>615</v>
      </c>
      <c r="Y3" s="169" t="s">
        <v>5</v>
      </c>
      <c r="Z3" s="169" t="s">
        <v>7</v>
      </c>
    </row>
    <row r="4" spans="1:26" ht="15.75" x14ac:dyDescent="0.25">
      <c r="A4" s="158">
        <v>1</v>
      </c>
      <c r="B4" s="247" t="s">
        <v>1874</v>
      </c>
      <c r="C4" s="248">
        <v>46249</v>
      </c>
      <c r="D4" s="158" t="s">
        <v>1872</v>
      </c>
      <c r="E4" s="249" t="s">
        <v>1873</v>
      </c>
      <c r="F4" s="349"/>
      <c r="G4" s="250">
        <v>8000000</v>
      </c>
      <c r="J4" s="16">
        <v>2</v>
      </c>
      <c r="K4" s="114"/>
      <c r="L4" s="114"/>
      <c r="M4" s="114"/>
      <c r="O4" s="16">
        <v>1</v>
      </c>
      <c r="P4" s="156" t="s">
        <v>886</v>
      </c>
      <c r="Q4" s="152" t="s">
        <v>624</v>
      </c>
      <c r="R4" s="11" t="s">
        <v>15</v>
      </c>
      <c r="S4" s="195">
        <f>SUMIFS('Company accounts'!I3:I5001,'Company accounts'!D3:D5001,R4,'Company accounts'!G3:G5001,Q4,'Company accounts'!H3:H5001,'رصيد قاصة'!P4)</f>
        <v>154000000</v>
      </c>
      <c r="T4" s="19"/>
      <c r="W4" s="16">
        <v>1</v>
      </c>
      <c r="X4" s="152" t="s">
        <v>624</v>
      </c>
      <c r="Y4" s="11" t="s">
        <v>9</v>
      </c>
      <c r="Z4" s="195">
        <f>SUMIFS('Company accounts'!I3:I5001,'Company accounts'!D3:D5001,Y4,'Company accounts'!G3:G5001,X4)</f>
        <v>39059000</v>
      </c>
    </row>
    <row r="5" spans="1:26" ht="15.75" x14ac:dyDescent="0.25">
      <c r="A5" s="158">
        <v>2</v>
      </c>
      <c r="B5" s="247" t="s">
        <v>1875</v>
      </c>
      <c r="C5" s="248">
        <v>46249</v>
      </c>
      <c r="D5" s="158" t="s">
        <v>400</v>
      </c>
      <c r="E5" s="249" t="s">
        <v>1711</v>
      </c>
      <c r="F5" s="349"/>
      <c r="G5" s="250">
        <v>55000000</v>
      </c>
      <c r="J5" s="16">
        <v>3</v>
      </c>
      <c r="K5" s="114"/>
      <c r="L5" s="114"/>
      <c r="M5" s="114"/>
      <c r="O5" s="16">
        <v>2</v>
      </c>
      <c r="P5" s="196" t="s">
        <v>886</v>
      </c>
      <c r="Q5" s="152" t="s">
        <v>624</v>
      </c>
      <c r="R5" s="11" t="s">
        <v>26</v>
      </c>
      <c r="S5" s="195">
        <f>SUMIFS('Company accounts'!I3:I5001,'Company accounts'!D3:D5001,R5,'Company accounts'!G3:G5001,Q5,'Company accounts'!H3:H5001,'رصيد قاصة'!P5)</f>
        <v>12500000</v>
      </c>
      <c r="T5" s="19"/>
      <c r="V5" s="187"/>
      <c r="W5" s="16">
        <v>2</v>
      </c>
      <c r="X5" s="152" t="s">
        <v>624</v>
      </c>
      <c r="Y5" s="11" t="s">
        <v>21</v>
      </c>
      <c r="Z5" s="195">
        <f>SUMIFS('Company accounts'!I3:I5001,'Company accounts'!D3:D5001,Y5,'Company accounts'!G3:G5001,X5)</f>
        <v>4308000</v>
      </c>
    </row>
    <row r="6" spans="1:26" ht="15.75" x14ac:dyDescent="0.25">
      <c r="A6" s="254">
        <v>3</v>
      </c>
      <c r="B6" s="5" t="s">
        <v>1876</v>
      </c>
      <c r="C6" s="6">
        <v>46249</v>
      </c>
      <c r="D6" s="16" t="s">
        <v>161</v>
      </c>
      <c r="E6" s="16" t="s">
        <v>1890</v>
      </c>
      <c r="F6" s="10">
        <v>600000</v>
      </c>
      <c r="G6" s="251"/>
      <c r="J6" s="16">
        <v>4</v>
      </c>
      <c r="K6" s="114"/>
      <c r="L6" s="114"/>
      <c r="M6" s="114"/>
      <c r="N6" s="19"/>
      <c r="O6" s="16">
        <v>3</v>
      </c>
      <c r="P6" s="16"/>
      <c r="Q6" s="16"/>
      <c r="R6" s="16"/>
      <c r="S6" s="191"/>
      <c r="T6" s="19"/>
      <c r="V6" s="188"/>
      <c r="W6" s="16">
        <v>3</v>
      </c>
      <c r="X6" s="152" t="s">
        <v>624</v>
      </c>
      <c r="Y6" s="11" t="s">
        <v>23</v>
      </c>
      <c r="Z6" s="195">
        <f>SUMIFS('Company accounts'!I4:I5002,'Company accounts'!D4:D5002,Y6,'Company accounts'!G4:G5002,X6)</f>
        <v>87400000</v>
      </c>
    </row>
    <row r="7" spans="1:26" ht="15.75" x14ac:dyDescent="0.25">
      <c r="A7" s="254">
        <v>4</v>
      </c>
      <c r="B7" s="5" t="s">
        <v>1877</v>
      </c>
      <c r="C7" s="6">
        <v>46249</v>
      </c>
      <c r="D7" s="16" t="s">
        <v>92</v>
      </c>
      <c r="E7" s="16" t="s">
        <v>1890</v>
      </c>
      <c r="F7" s="10">
        <v>1500000</v>
      </c>
      <c r="G7" s="251"/>
      <c r="J7" s="16">
        <v>5</v>
      </c>
      <c r="K7" s="114"/>
      <c r="L7" s="114"/>
      <c r="M7" s="114"/>
      <c r="N7" s="19"/>
      <c r="O7" s="16">
        <v>4</v>
      </c>
      <c r="P7" s="16"/>
      <c r="Q7" s="16"/>
      <c r="R7" s="16"/>
      <c r="S7" s="191"/>
      <c r="T7" s="19"/>
      <c r="V7" s="188"/>
      <c r="W7" s="16">
        <v>4</v>
      </c>
      <c r="X7" s="152" t="s">
        <v>624</v>
      </c>
      <c r="Y7" s="11" t="s">
        <v>587</v>
      </c>
      <c r="Z7" s="195">
        <f>SUMIFS('Company accounts'!I5:I5003,'Company accounts'!D5:D5003,Y7,'Company accounts'!G5:G5003,X7)</f>
        <v>9250000</v>
      </c>
    </row>
    <row r="8" spans="1:26" x14ac:dyDescent="0.25">
      <c r="A8" s="254">
        <v>5</v>
      </c>
      <c r="B8" s="5" t="s">
        <v>1878</v>
      </c>
      <c r="C8" s="6">
        <v>46249</v>
      </c>
      <c r="D8" s="16" t="s">
        <v>59</v>
      </c>
      <c r="E8" s="16" t="s">
        <v>1891</v>
      </c>
      <c r="F8" s="10">
        <v>650000</v>
      </c>
      <c r="G8" s="251"/>
      <c r="J8" s="16">
        <v>6</v>
      </c>
      <c r="K8" s="114"/>
      <c r="L8" s="114"/>
      <c r="M8" s="114"/>
      <c r="O8" s="16">
        <v>5</v>
      </c>
      <c r="P8" s="16"/>
      <c r="Q8" s="16"/>
      <c r="R8" s="16"/>
      <c r="S8" s="191"/>
      <c r="T8" s="19"/>
      <c r="V8" s="19"/>
      <c r="W8" s="16">
        <v>5</v>
      </c>
      <c r="X8" s="16"/>
      <c r="Y8" s="113" t="s">
        <v>1481</v>
      </c>
      <c r="Z8" s="111">
        <v>580000</v>
      </c>
    </row>
    <row r="9" spans="1:26" x14ac:dyDescent="0.25">
      <c r="A9" s="254">
        <v>6</v>
      </c>
      <c r="B9" s="5" t="s">
        <v>1879</v>
      </c>
      <c r="C9" s="6">
        <v>46249</v>
      </c>
      <c r="D9" s="16" t="s">
        <v>102</v>
      </c>
      <c r="E9" s="16" t="s">
        <v>1892</v>
      </c>
      <c r="F9" s="10">
        <v>500000</v>
      </c>
      <c r="G9" s="251"/>
      <c r="J9" s="16">
        <v>7</v>
      </c>
      <c r="K9" s="114"/>
      <c r="L9" s="114"/>
      <c r="M9" s="114"/>
      <c r="N9" s="19"/>
      <c r="O9" s="16">
        <v>6</v>
      </c>
      <c r="P9" s="16"/>
      <c r="Q9" s="16"/>
      <c r="R9" s="16"/>
      <c r="S9" s="191"/>
      <c r="T9" s="19"/>
      <c r="V9" s="19"/>
      <c r="W9" s="16">
        <v>6</v>
      </c>
      <c r="X9" s="16"/>
      <c r="Y9" s="184"/>
      <c r="Z9" s="111"/>
    </row>
    <row r="10" spans="1:26" x14ac:dyDescent="0.25">
      <c r="A10" s="254">
        <v>7</v>
      </c>
      <c r="B10" s="5" t="s">
        <v>1880</v>
      </c>
      <c r="C10" s="6">
        <v>46249</v>
      </c>
      <c r="D10" s="16" t="s">
        <v>1884</v>
      </c>
      <c r="E10" s="16" t="s">
        <v>1890</v>
      </c>
      <c r="F10" s="10">
        <v>700000</v>
      </c>
      <c r="G10" s="251"/>
      <c r="J10" s="16">
        <v>8</v>
      </c>
      <c r="K10" s="114"/>
      <c r="L10" s="114"/>
      <c r="M10" s="114"/>
      <c r="N10" s="19"/>
      <c r="O10" s="16">
        <v>7</v>
      </c>
      <c r="P10" s="16"/>
      <c r="Q10" s="16"/>
      <c r="R10" s="16"/>
      <c r="S10" s="191"/>
      <c r="T10" s="19"/>
      <c r="V10" s="19"/>
      <c r="W10" s="16">
        <v>7</v>
      </c>
      <c r="X10" s="16"/>
      <c r="Y10" s="16"/>
      <c r="Z10" s="191"/>
    </row>
    <row r="11" spans="1:26" x14ac:dyDescent="0.25">
      <c r="A11" s="254">
        <v>8</v>
      </c>
      <c r="B11" s="5" t="s">
        <v>1881</v>
      </c>
      <c r="C11" s="6">
        <v>46249</v>
      </c>
      <c r="D11" s="16" t="s">
        <v>1762</v>
      </c>
      <c r="E11" s="16" t="s">
        <v>1890</v>
      </c>
      <c r="F11" s="10">
        <v>500000</v>
      </c>
      <c r="G11" s="251"/>
      <c r="J11" s="16">
        <v>9</v>
      </c>
      <c r="K11" s="114"/>
      <c r="L11" s="114"/>
      <c r="M11" s="114"/>
      <c r="N11" s="19"/>
      <c r="O11" s="16">
        <v>8</v>
      </c>
      <c r="P11" s="16"/>
      <c r="Q11" s="16"/>
      <c r="R11" s="16"/>
      <c r="S11" s="191"/>
      <c r="T11" s="19"/>
      <c r="V11" s="19"/>
      <c r="W11" s="16">
        <v>8</v>
      </c>
      <c r="X11" s="16"/>
      <c r="Y11" s="16"/>
      <c r="Z11" s="191"/>
    </row>
    <row r="12" spans="1:26" x14ac:dyDescent="0.25">
      <c r="A12" s="254">
        <v>9</v>
      </c>
      <c r="B12" s="5" t="s">
        <v>1882</v>
      </c>
      <c r="C12" s="6">
        <v>46249</v>
      </c>
      <c r="D12" s="16" t="s">
        <v>97</v>
      </c>
      <c r="E12" s="16" t="s">
        <v>1890</v>
      </c>
      <c r="F12" s="10">
        <v>1000000</v>
      </c>
      <c r="G12" s="251"/>
      <c r="J12" s="16">
        <v>10</v>
      </c>
      <c r="K12" s="114"/>
      <c r="L12" s="114"/>
      <c r="M12" s="114"/>
      <c r="N12" s="19"/>
      <c r="O12" s="16">
        <v>9</v>
      </c>
      <c r="P12" s="16"/>
      <c r="Q12" s="16"/>
      <c r="R12" s="16"/>
      <c r="S12" s="191"/>
      <c r="T12" s="19"/>
      <c r="W12" s="16">
        <v>9</v>
      </c>
      <c r="X12" s="16"/>
      <c r="Y12" s="16"/>
      <c r="Z12" s="191"/>
    </row>
    <row r="13" spans="1:26" x14ac:dyDescent="0.25">
      <c r="A13" s="253">
        <v>10</v>
      </c>
      <c r="B13" s="5" t="s">
        <v>1883</v>
      </c>
      <c r="C13" s="6">
        <v>46249</v>
      </c>
      <c r="D13" s="16" t="s">
        <v>1656</v>
      </c>
      <c r="E13" s="16" t="s">
        <v>1890</v>
      </c>
      <c r="F13" s="10">
        <v>400000</v>
      </c>
      <c r="G13" s="251"/>
      <c r="J13" s="16">
        <v>11</v>
      </c>
      <c r="K13" s="114"/>
      <c r="L13" s="114"/>
      <c r="M13" s="114"/>
      <c r="N13" s="19"/>
      <c r="O13" s="16">
        <v>10</v>
      </c>
      <c r="P13" s="16"/>
      <c r="Q13" s="16"/>
      <c r="R13" s="16"/>
      <c r="S13" s="191"/>
      <c r="T13" s="19"/>
      <c r="W13" s="16">
        <v>10</v>
      </c>
      <c r="X13" s="16"/>
      <c r="Y13" s="16"/>
      <c r="Z13" s="191"/>
    </row>
    <row r="14" spans="1:26" x14ac:dyDescent="0.25">
      <c r="A14" s="253">
        <v>11</v>
      </c>
      <c r="B14" s="5"/>
      <c r="C14" s="6"/>
      <c r="D14" s="16"/>
      <c r="E14" s="16" t="s">
        <v>1969</v>
      </c>
      <c r="F14" s="10">
        <v>700000</v>
      </c>
      <c r="G14" s="251"/>
      <c r="J14" s="16">
        <v>12</v>
      </c>
      <c r="K14" s="114"/>
      <c r="L14" s="114"/>
      <c r="M14" s="114"/>
    </row>
    <row r="15" spans="1:26" x14ac:dyDescent="0.25">
      <c r="A15" s="253">
        <v>12</v>
      </c>
      <c r="B15" s="5" t="s">
        <v>1885</v>
      </c>
      <c r="C15" s="6">
        <v>46249</v>
      </c>
      <c r="D15" s="16" t="s">
        <v>97</v>
      </c>
      <c r="E15" s="16" t="s">
        <v>1766</v>
      </c>
      <c r="F15" s="10">
        <v>150000</v>
      </c>
      <c r="G15" s="251"/>
      <c r="J15" s="16">
        <v>13</v>
      </c>
      <c r="K15" s="114"/>
      <c r="L15" s="114"/>
      <c r="M15" s="114"/>
    </row>
    <row r="16" spans="1:26" ht="15.75" x14ac:dyDescent="0.25">
      <c r="A16" s="253">
        <v>13</v>
      </c>
      <c r="B16" s="5" t="s">
        <v>1886</v>
      </c>
      <c r="C16" s="6">
        <v>46249</v>
      </c>
      <c r="D16" s="16" t="s">
        <v>607</v>
      </c>
      <c r="E16" s="16" t="s">
        <v>1887</v>
      </c>
      <c r="F16" s="10">
        <v>5000000</v>
      </c>
      <c r="G16" s="251"/>
      <c r="J16" s="16">
        <v>14</v>
      </c>
      <c r="K16" s="114"/>
      <c r="L16" s="114"/>
      <c r="M16" s="114"/>
      <c r="O16" s="202" t="s">
        <v>886</v>
      </c>
      <c r="P16" s="152" t="s">
        <v>624</v>
      </c>
      <c r="Q16" s="11" t="s">
        <v>26</v>
      </c>
      <c r="R16" s="202" t="s">
        <v>323</v>
      </c>
      <c r="S16" s="195">
        <f>SUMIFS('Company accounts'!I3:I5001,'Company accounts'!D3:D5001,Q16,'Company accounts'!G3:G5001,P16,'Company accounts'!H3:H5001,'رصيد قاصة'!O16,'Company accounts'!E3:E5001,R16)</f>
        <v>8350000</v>
      </c>
      <c r="Y16" s="16" t="s">
        <v>9</v>
      </c>
      <c r="Z16" s="199">
        <f>SUMIFS('Company accounts'!I385:I4001,'Company accounts'!D385:D4001,Y16)</f>
        <v>133866000</v>
      </c>
    </row>
    <row r="17" spans="1:26" x14ac:dyDescent="0.25">
      <c r="A17" s="253">
        <v>14</v>
      </c>
      <c r="B17" s="252" t="s">
        <v>1888</v>
      </c>
      <c r="C17" s="335">
        <v>46250</v>
      </c>
      <c r="D17" s="252" t="s">
        <v>1378</v>
      </c>
      <c r="E17" s="252" t="s">
        <v>1890</v>
      </c>
      <c r="F17" s="10">
        <v>500000</v>
      </c>
      <c r="G17" s="251"/>
      <c r="J17" s="16">
        <v>15</v>
      </c>
      <c r="K17" s="114"/>
      <c r="L17" s="114"/>
      <c r="M17" s="114"/>
      <c r="Y17" s="16" t="s">
        <v>21</v>
      </c>
      <c r="Z17" s="199">
        <f>SUMIFS('Company accounts'!I385:I4001,'Company accounts'!D385:D4001,Y17)</f>
        <v>35853000</v>
      </c>
    </row>
    <row r="18" spans="1:26" ht="15.75" x14ac:dyDescent="0.25">
      <c r="A18" s="253">
        <v>15</v>
      </c>
      <c r="B18" s="252" t="s">
        <v>1889</v>
      </c>
      <c r="C18" s="335">
        <v>46250</v>
      </c>
      <c r="D18" s="252" t="s">
        <v>1709</v>
      </c>
      <c r="E18" s="252" t="s">
        <v>1890</v>
      </c>
      <c r="F18" s="10">
        <v>350000</v>
      </c>
      <c r="G18" s="251"/>
      <c r="I18" s="142"/>
      <c r="J18" s="16">
        <v>16</v>
      </c>
      <c r="K18" s="114" t="s">
        <v>1897</v>
      </c>
      <c r="L18" s="114"/>
      <c r="M18" s="114"/>
      <c r="O18" s="213" t="s">
        <v>1447</v>
      </c>
      <c r="P18" s="152" t="s">
        <v>620</v>
      </c>
      <c r="Q18" s="11" t="s">
        <v>21</v>
      </c>
      <c r="R18" s="195">
        <f>SUMIFS('Company accounts'!I3:I5001,'Company accounts'!D3:D5001,Q18,'Company accounts'!G3:G5001,P18,'Company accounts'!H3:H5001,'رصيد قاصة'!O18)</f>
        <v>108000</v>
      </c>
      <c r="Y18" s="16" t="s">
        <v>23</v>
      </c>
      <c r="Z18" s="199">
        <f>SUMIFS('Company accounts'!I385:I4001,'Company accounts'!D385:D4001,Y18)</f>
        <v>244300000</v>
      </c>
    </row>
    <row r="19" spans="1:26" x14ac:dyDescent="0.25">
      <c r="A19" s="253">
        <v>16</v>
      </c>
      <c r="B19" s="252" t="s">
        <v>1893</v>
      </c>
      <c r="C19" s="335">
        <v>46250</v>
      </c>
      <c r="D19" s="252" t="s">
        <v>1200</v>
      </c>
      <c r="E19" s="252" t="s">
        <v>1894</v>
      </c>
      <c r="F19" s="10">
        <v>2000000</v>
      </c>
      <c r="G19" s="251"/>
      <c r="I19" s="142"/>
      <c r="J19" s="16">
        <v>17</v>
      </c>
      <c r="K19" s="114"/>
      <c r="L19" s="114"/>
      <c r="M19" s="114"/>
      <c r="Y19" s="16" t="s">
        <v>587</v>
      </c>
      <c r="Z19" s="199">
        <f>SUMIFS('Company accounts'!I385:I4001,'Company accounts'!D385:D4001,Y19)</f>
        <v>42600000</v>
      </c>
    </row>
    <row r="20" spans="1:26" x14ac:dyDescent="0.25">
      <c r="A20" s="253">
        <v>17</v>
      </c>
      <c r="B20" s="252" t="s">
        <v>1895</v>
      </c>
      <c r="C20" s="335">
        <v>46250</v>
      </c>
      <c r="D20" s="252" t="s">
        <v>97</v>
      </c>
      <c r="E20" s="252" t="s">
        <v>9</v>
      </c>
      <c r="F20" s="10">
        <v>279000</v>
      </c>
      <c r="G20" s="251"/>
      <c r="J20" s="16">
        <v>18</v>
      </c>
      <c r="K20" s="114" t="s">
        <v>1959</v>
      </c>
      <c r="L20" s="114"/>
      <c r="M20" s="114"/>
      <c r="O20" s="229"/>
      <c r="P20" s="229"/>
      <c r="Q20" s="240" t="s">
        <v>1832</v>
      </c>
      <c r="R20" s="224"/>
      <c r="Y20" s="200" t="s">
        <v>1425</v>
      </c>
      <c r="Z20" s="201">
        <f>SUM(Z16:Z19)</f>
        <v>456619000</v>
      </c>
    </row>
    <row r="21" spans="1:26" x14ac:dyDescent="0.25">
      <c r="A21" s="253">
        <v>18</v>
      </c>
      <c r="B21" s="252" t="s">
        <v>1912</v>
      </c>
      <c r="C21" s="335">
        <v>46250</v>
      </c>
      <c r="D21" s="252" t="s">
        <v>1489</v>
      </c>
      <c r="E21" s="252" t="s">
        <v>1911</v>
      </c>
      <c r="F21" s="10">
        <v>140000</v>
      </c>
      <c r="G21" s="251"/>
      <c r="J21" s="16">
        <v>19</v>
      </c>
      <c r="K21" s="114"/>
      <c r="L21" s="114"/>
      <c r="M21" s="114"/>
      <c r="O21" s="185" t="s">
        <v>1372</v>
      </c>
      <c r="P21" s="198" t="s">
        <v>1373</v>
      </c>
      <c r="Q21" s="198" t="s">
        <v>1423</v>
      </c>
      <c r="R21" s="198" t="s">
        <v>1424</v>
      </c>
    </row>
    <row r="22" spans="1:26" x14ac:dyDescent="0.25">
      <c r="A22" s="253">
        <v>19</v>
      </c>
      <c r="B22" s="252" t="s">
        <v>1913</v>
      </c>
      <c r="C22" s="335">
        <v>46250</v>
      </c>
      <c r="D22" s="252" t="s">
        <v>1011</v>
      </c>
      <c r="E22" s="252" t="s">
        <v>1767</v>
      </c>
      <c r="F22" s="10">
        <v>125000</v>
      </c>
      <c r="G22" s="251"/>
      <c r="J22" s="16">
        <v>20</v>
      </c>
      <c r="K22" s="114"/>
      <c r="L22" s="114"/>
      <c r="M22" s="114"/>
      <c r="O22" s="16">
        <v>1</v>
      </c>
      <c r="P22" s="114"/>
      <c r="Q22" s="114"/>
      <c r="R22" s="114"/>
    </row>
    <row r="23" spans="1:26" x14ac:dyDescent="0.25">
      <c r="A23" s="253">
        <v>20</v>
      </c>
      <c r="B23" s="252"/>
      <c r="C23" s="335">
        <v>46250</v>
      </c>
      <c r="D23" s="252" t="s">
        <v>1925</v>
      </c>
      <c r="E23" s="252" t="s">
        <v>1787</v>
      </c>
      <c r="F23" s="10">
        <v>35000</v>
      </c>
      <c r="G23" s="251"/>
      <c r="H23" s="142"/>
      <c r="J23" s="16">
        <v>21</v>
      </c>
      <c r="K23" s="114"/>
      <c r="L23" s="114"/>
      <c r="M23" s="114"/>
      <c r="O23" s="16">
        <v>2</v>
      </c>
      <c r="P23" s="114"/>
      <c r="Q23" s="114"/>
      <c r="R23" s="114"/>
      <c r="X23" s="196" t="s">
        <v>886</v>
      </c>
      <c r="Y23" s="11" t="s">
        <v>15</v>
      </c>
      <c r="Z23" s="199">
        <f>SUMIFS('Company accounts'!I385:I5001,'Company accounts'!D385:D5001,Y23,'Company accounts'!H385:H5001,X23)</f>
        <v>287500000</v>
      </c>
    </row>
    <row r="24" spans="1:26" x14ac:dyDescent="0.25">
      <c r="A24" s="253">
        <v>21</v>
      </c>
      <c r="B24" s="5" t="s">
        <v>1914</v>
      </c>
      <c r="C24" s="335">
        <v>46250</v>
      </c>
      <c r="D24" s="16" t="s">
        <v>1749</v>
      </c>
      <c r="E24" s="16" t="s">
        <v>168</v>
      </c>
      <c r="F24" s="10">
        <v>8000000</v>
      </c>
      <c r="G24" s="251"/>
      <c r="H24" s="142"/>
      <c r="J24" s="16">
        <v>22</v>
      </c>
      <c r="K24" s="114"/>
      <c r="L24" s="114"/>
      <c r="M24" s="114"/>
      <c r="O24" s="16">
        <v>3</v>
      </c>
      <c r="P24" s="114"/>
      <c r="Q24" s="114"/>
      <c r="R24" s="114"/>
    </row>
    <row r="25" spans="1:26" x14ac:dyDescent="0.25">
      <c r="A25" s="158">
        <v>22</v>
      </c>
      <c r="B25" s="247" t="s">
        <v>1926</v>
      </c>
      <c r="C25" s="332">
        <v>46251</v>
      </c>
      <c r="D25" s="158" t="s">
        <v>1927</v>
      </c>
      <c r="E25" s="158" t="s">
        <v>1931</v>
      </c>
      <c r="F25" s="349"/>
      <c r="G25" s="250">
        <v>32000000</v>
      </c>
      <c r="J25" s="16">
        <v>23</v>
      </c>
      <c r="K25" s="114"/>
      <c r="L25" s="114"/>
      <c r="M25" s="114"/>
      <c r="O25" s="16">
        <v>4</v>
      </c>
      <c r="P25" s="114" t="s">
        <v>1738</v>
      </c>
      <c r="Q25" s="114"/>
      <c r="R25" s="114"/>
      <c r="Y25" s="16" t="s">
        <v>26</v>
      </c>
      <c r="Z25" s="199">
        <f>SUMIFS('Company accounts'!I385:I4001,'Company accounts'!D394:D4010,Y25)</f>
        <v>35368000</v>
      </c>
    </row>
    <row r="26" spans="1:26" x14ac:dyDescent="0.25">
      <c r="A26" s="158">
        <v>23</v>
      </c>
      <c r="B26" s="247" t="s">
        <v>1918</v>
      </c>
      <c r="C26" s="333">
        <v>46251</v>
      </c>
      <c r="D26" s="158" t="s">
        <v>1275</v>
      </c>
      <c r="E26" s="334" t="s">
        <v>1932</v>
      </c>
      <c r="F26" s="349"/>
      <c r="G26" s="250">
        <v>3000000</v>
      </c>
      <c r="H26" s="233"/>
      <c r="I26" s="142"/>
      <c r="J26" s="243">
        <v>24</v>
      </c>
      <c r="K26" s="114"/>
      <c r="L26" s="114"/>
      <c r="M26" s="114"/>
      <c r="O26" s="16">
        <v>5</v>
      </c>
      <c r="P26" s="114"/>
      <c r="Q26" s="114"/>
      <c r="R26" s="114"/>
    </row>
    <row r="27" spans="1:26" x14ac:dyDescent="0.25">
      <c r="A27" s="253">
        <v>24</v>
      </c>
      <c r="B27" s="5" t="s">
        <v>1919</v>
      </c>
      <c r="C27" s="331">
        <v>46251</v>
      </c>
      <c r="D27" s="16" t="s">
        <v>1930</v>
      </c>
      <c r="E27" s="16" t="s">
        <v>1929</v>
      </c>
      <c r="F27" s="10">
        <v>250000</v>
      </c>
      <c r="G27" s="245"/>
      <c r="H27" s="233"/>
      <c r="I27" s="142"/>
      <c r="J27" s="243">
        <v>25</v>
      </c>
      <c r="K27" s="219"/>
      <c r="L27" s="114"/>
      <c r="M27" s="114"/>
      <c r="O27" s="16">
        <v>6</v>
      </c>
      <c r="P27" s="114"/>
      <c r="Q27" s="114"/>
      <c r="R27" s="114"/>
    </row>
    <row r="28" spans="1:26" ht="15.75" x14ac:dyDescent="0.25">
      <c r="A28" s="253">
        <v>25</v>
      </c>
      <c r="B28" s="5" t="s">
        <v>1920</v>
      </c>
      <c r="C28" s="331">
        <v>46251</v>
      </c>
      <c r="D28" s="16" t="s">
        <v>1685</v>
      </c>
      <c r="E28" s="16" t="s">
        <v>1934</v>
      </c>
      <c r="F28" s="10">
        <v>850000</v>
      </c>
      <c r="G28" s="245"/>
      <c r="J28" s="16">
        <v>26</v>
      </c>
      <c r="K28" s="219"/>
      <c r="L28" s="114"/>
      <c r="M28" s="114"/>
      <c r="O28" s="16">
        <v>7</v>
      </c>
      <c r="P28" s="114"/>
      <c r="Q28" s="114"/>
      <c r="R28" s="114"/>
      <c r="S28" s="279" t="s">
        <v>1427</v>
      </c>
      <c r="T28" s="280"/>
      <c r="U28" s="278" t="s">
        <v>1670</v>
      </c>
      <c r="V28" s="278"/>
      <c r="W28" s="278"/>
      <c r="X28" s="205" t="s">
        <v>1426</v>
      </c>
      <c r="Y28" s="210" t="s">
        <v>1479</v>
      </c>
      <c r="Z28" s="210" t="s">
        <v>1480</v>
      </c>
    </row>
    <row r="29" spans="1:26" ht="15.75" x14ac:dyDescent="0.25">
      <c r="A29" s="253">
        <v>26</v>
      </c>
      <c r="B29" s="5" t="s">
        <v>1921</v>
      </c>
      <c r="C29" s="331">
        <v>46251</v>
      </c>
      <c r="D29" s="16" t="s">
        <v>97</v>
      </c>
      <c r="E29" s="16" t="s">
        <v>1939</v>
      </c>
      <c r="F29" s="10">
        <v>500000</v>
      </c>
      <c r="G29" s="245"/>
      <c r="J29" s="16">
        <v>27</v>
      </c>
      <c r="K29" s="219"/>
      <c r="L29" s="114"/>
      <c r="M29" s="114"/>
      <c r="O29" s="16">
        <v>8</v>
      </c>
      <c r="P29" s="114"/>
      <c r="Q29" s="114"/>
      <c r="R29" s="114"/>
      <c r="S29" s="281">
        <f>Z20</f>
        <v>456619000</v>
      </c>
      <c r="T29" s="281"/>
      <c r="U29" s="276" t="s">
        <v>1478</v>
      </c>
      <c r="V29" s="277"/>
      <c r="W29" s="208">
        <f>X29-S29</f>
        <v>-109986000</v>
      </c>
      <c r="X29" s="207">
        <f>SUM(X31:X47)</f>
        <v>346633000</v>
      </c>
      <c r="Y29" s="211">
        <f>W29</f>
        <v>-109986000</v>
      </c>
      <c r="Z29" s="212">
        <f>R18</f>
        <v>108000</v>
      </c>
    </row>
    <row r="30" spans="1:26" x14ac:dyDescent="0.25">
      <c r="A30" s="253">
        <v>27</v>
      </c>
      <c r="B30" s="5" t="s">
        <v>1922</v>
      </c>
      <c r="C30" s="331">
        <v>46251</v>
      </c>
      <c r="D30" s="16" t="s">
        <v>1937</v>
      </c>
      <c r="E30" s="16" t="s">
        <v>1938</v>
      </c>
      <c r="F30" s="10">
        <v>350000</v>
      </c>
      <c r="G30" s="245"/>
      <c r="J30" s="16">
        <v>28</v>
      </c>
      <c r="K30" s="219"/>
      <c r="L30" s="114"/>
      <c r="M30" s="114"/>
      <c r="O30" s="16">
        <v>9</v>
      </c>
      <c r="P30" s="114"/>
      <c r="Q30" s="114"/>
      <c r="R30" s="114"/>
      <c r="S30" s="169" t="s">
        <v>0</v>
      </c>
      <c r="T30" s="197" t="s">
        <v>238</v>
      </c>
      <c r="U30" s="209" t="s">
        <v>4</v>
      </c>
      <c r="V30" s="197" t="s">
        <v>2</v>
      </c>
      <c r="W30" s="169" t="s">
        <v>5</v>
      </c>
      <c r="X30" s="169" t="s">
        <v>7</v>
      </c>
      <c r="Z30" s="216">
        <f>260000-Z29</f>
        <v>152000</v>
      </c>
    </row>
    <row r="31" spans="1:26" x14ac:dyDescent="0.25">
      <c r="A31" s="253">
        <v>28</v>
      </c>
      <c r="B31" s="5" t="s">
        <v>1923</v>
      </c>
      <c r="C31" s="331">
        <v>46251</v>
      </c>
      <c r="D31" s="16" t="s">
        <v>1749</v>
      </c>
      <c r="E31" s="16" t="s">
        <v>168</v>
      </c>
      <c r="F31" s="10">
        <v>22000000</v>
      </c>
      <c r="G31" s="245"/>
      <c r="J31" s="16">
        <v>29</v>
      </c>
      <c r="K31" s="219"/>
      <c r="L31" s="114"/>
      <c r="M31" s="114"/>
      <c r="O31" s="16">
        <v>10</v>
      </c>
      <c r="P31" s="114"/>
      <c r="Q31" s="114"/>
      <c r="R31" s="114"/>
      <c r="S31" s="16">
        <v>1</v>
      </c>
      <c r="T31" s="16"/>
      <c r="U31" s="16"/>
      <c r="V31" s="6"/>
      <c r="W31" s="204" t="s">
        <v>627</v>
      </c>
      <c r="X31" s="191">
        <f>Z23</f>
        <v>287500000</v>
      </c>
      <c r="Y31" s="215"/>
      <c r="Z31" s="19"/>
    </row>
    <row r="32" spans="1:26" x14ac:dyDescent="0.25">
      <c r="A32" s="253">
        <v>29</v>
      </c>
      <c r="B32" s="5" t="s">
        <v>1924</v>
      </c>
      <c r="C32" s="331">
        <v>46251</v>
      </c>
      <c r="D32" s="16" t="s">
        <v>1749</v>
      </c>
      <c r="E32" s="16" t="s">
        <v>168</v>
      </c>
      <c r="F32" s="10">
        <v>7500000</v>
      </c>
      <c r="G32" s="245"/>
      <c r="J32" s="16">
        <v>30</v>
      </c>
      <c r="K32" s="114"/>
      <c r="L32" s="114"/>
      <c r="M32" s="114"/>
      <c r="O32" s="16">
        <v>11</v>
      </c>
      <c r="P32" s="114"/>
      <c r="Q32" s="114"/>
      <c r="R32" s="114"/>
      <c r="S32" s="16">
        <v>2</v>
      </c>
      <c r="T32" s="5" t="s">
        <v>1313</v>
      </c>
      <c r="U32" s="5" t="s">
        <v>1459</v>
      </c>
      <c r="V32" s="6">
        <v>46147</v>
      </c>
      <c r="W32" s="16" t="s">
        <v>1458</v>
      </c>
      <c r="X32" s="10">
        <v>2000000</v>
      </c>
      <c r="Z32" s="19"/>
    </row>
    <row r="33" spans="1:26" x14ac:dyDescent="0.25">
      <c r="A33" s="158">
        <v>30</v>
      </c>
      <c r="B33" s="247" t="s">
        <v>1941</v>
      </c>
      <c r="C33" s="248">
        <v>46252</v>
      </c>
      <c r="D33" s="158" t="s">
        <v>754</v>
      </c>
      <c r="E33" s="249" t="s">
        <v>1658</v>
      </c>
      <c r="F33" s="349"/>
      <c r="G33" s="250">
        <v>14000000</v>
      </c>
      <c r="H33" s="236"/>
      <c r="J33" s="16">
        <v>31</v>
      </c>
      <c r="K33" s="114"/>
      <c r="L33" s="114"/>
      <c r="M33" s="114"/>
      <c r="O33" s="16">
        <v>12</v>
      </c>
      <c r="P33" s="114"/>
      <c r="Q33" s="114"/>
      <c r="R33" s="114"/>
      <c r="S33" s="16">
        <v>3</v>
      </c>
      <c r="T33" s="5" t="s">
        <v>1329</v>
      </c>
      <c r="U33" s="5" t="s">
        <v>1459</v>
      </c>
      <c r="V33" s="6">
        <v>46148</v>
      </c>
      <c r="W33" s="16" t="s">
        <v>1331</v>
      </c>
      <c r="X33" s="10">
        <v>1000000</v>
      </c>
    </row>
    <row r="34" spans="1:26" x14ac:dyDescent="0.25">
      <c r="A34" s="158">
        <v>31</v>
      </c>
      <c r="B34" s="247" t="s">
        <v>1942</v>
      </c>
      <c r="C34" s="248">
        <v>46252</v>
      </c>
      <c r="D34" s="158" t="s">
        <v>1275</v>
      </c>
      <c r="E34" s="158" t="s">
        <v>1943</v>
      </c>
      <c r="F34" s="349"/>
      <c r="G34" s="250">
        <v>1000000</v>
      </c>
      <c r="H34" s="237"/>
      <c r="O34" s="16">
        <v>13</v>
      </c>
      <c r="P34" s="114"/>
      <c r="Q34" s="114"/>
      <c r="R34" s="114"/>
      <c r="S34" s="16">
        <v>4</v>
      </c>
      <c r="T34" s="5" t="s">
        <v>1437</v>
      </c>
      <c r="U34" s="5" t="s">
        <v>323</v>
      </c>
      <c r="V34" s="6">
        <v>46155</v>
      </c>
      <c r="W34" s="16" t="s">
        <v>1435</v>
      </c>
      <c r="X34" s="10">
        <v>5000000</v>
      </c>
    </row>
    <row r="35" spans="1:26" x14ac:dyDescent="0.25">
      <c r="A35" s="253">
        <v>32</v>
      </c>
      <c r="B35" s="5" t="s">
        <v>1947</v>
      </c>
      <c r="C35" s="6">
        <v>46252</v>
      </c>
      <c r="D35" s="16" t="s">
        <v>1956</v>
      </c>
      <c r="E35" s="16" t="s">
        <v>1957</v>
      </c>
      <c r="F35" s="10">
        <v>350000</v>
      </c>
      <c r="G35" s="17"/>
      <c r="O35" s="16">
        <v>14</v>
      </c>
      <c r="P35" s="114"/>
      <c r="Q35" s="114"/>
      <c r="R35" s="114"/>
      <c r="S35" s="16">
        <v>5</v>
      </c>
      <c r="T35" s="5" t="s">
        <v>1444</v>
      </c>
      <c r="U35" s="5" t="s">
        <v>323</v>
      </c>
      <c r="V35" s="6">
        <v>46156</v>
      </c>
      <c r="W35" s="16" t="s">
        <v>1457</v>
      </c>
      <c r="X35" s="10">
        <v>2050000</v>
      </c>
    </row>
    <row r="36" spans="1:26" x14ac:dyDescent="0.25">
      <c r="A36" s="253">
        <v>33</v>
      </c>
      <c r="B36" s="5" t="s">
        <v>1948</v>
      </c>
      <c r="C36" s="6">
        <v>46252</v>
      </c>
      <c r="D36" s="16" t="s">
        <v>578</v>
      </c>
      <c r="E36" s="16" t="s">
        <v>1954</v>
      </c>
      <c r="F36" s="10">
        <v>2500000</v>
      </c>
      <c r="G36" s="339"/>
      <c r="O36" s="16">
        <v>15</v>
      </c>
      <c r="P36" s="114"/>
      <c r="Q36" s="114"/>
      <c r="R36" s="114"/>
      <c r="S36" s="16">
        <v>6</v>
      </c>
      <c r="T36" s="5" t="s">
        <v>1448</v>
      </c>
      <c r="U36" s="5" t="s">
        <v>323</v>
      </c>
      <c r="V36" s="6">
        <v>46156</v>
      </c>
      <c r="W36" s="16" t="s">
        <v>1449</v>
      </c>
      <c r="X36" s="10">
        <v>260000</v>
      </c>
    </row>
    <row r="37" spans="1:26" x14ac:dyDescent="0.25">
      <c r="A37" s="253">
        <v>34</v>
      </c>
      <c r="B37" s="5" t="s">
        <v>1949</v>
      </c>
      <c r="C37" s="6">
        <v>46252</v>
      </c>
      <c r="D37" s="16" t="s">
        <v>1274</v>
      </c>
      <c r="E37" s="16" t="s">
        <v>1953</v>
      </c>
      <c r="F37" s="10">
        <v>500000</v>
      </c>
      <c r="G37" s="339"/>
      <c r="J37" s="17" t="s">
        <v>1672</v>
      </c>
      <c r="K37" s="122">
        <v>15000000</v>
      </c>
      <c r="O37" s="16">
        <v>16</v>
      </c>
      <c r="P37" s="114"/>
      <c r="Q37" s="114"/>
      <c r="R37" s="114"/>
      <c r="S37" s="16">
        <v>7</v>
      </c>
      <c r="T37" s="16">
        <v>1683</v>
      </c>
      <c r="U37" s="5" t="s">
        <v>323</v>
      </c>
      <c r="V37" s="6">
        <v>46158</v>
      </c>
      <c r="W37" s="214" t="s">
        <v>1511</v>
      </c>
      <c r="X37" s="191">
        <v>31973000</v>
      </c>
    </row>
    <row r="38" spans="1:26" x14ac:dyDescent="0.25">
      <c r="A38" s="253">
        <v>35</v>
      </c>
      <c r="B38" s="5" t="s">
        <v>1950</v>
      </c>
      <c r="C38" s="6">
        <v>46252</v>
      </c>
      <c r="D38" s="16" t="s">
        <v>1952</v>
      </c>
      <c r="E38" s="16" t="s">
        <v>1892</v>
      </c>
      <c r="F38" s="10">
        <v>2000000</v>
      </c>
      <c r="G38" s="339"/>
      <c r="J38" s="16" t="s">
        <v>578</v>
      </c>
      <c r="K38" s="122">
        <v>3000000</v>
      </c>
      <c r="O38" s="16">
        <v>17</v>
      </c>
      <c r="P38" s="114"/>
      <c r="Q38" s="114"/>
      <c r="R38" s="114"/>
      <c r="S38" s="16">
        <v>8</v>
      </c>
      <c r="T38" s="5" t="s">
        <v>1593</v>
      </c>
      <c r="U38" s="16" t="s">
        <v>323</v>
      </c>
      <c r="V38" s="6">
        <v>46175</v>
      </c>
      <c r="W38" s="114" t="s">
        <v>1597</v>
      </c>
      <c r="X38" s="10">
        <v>7650000</v>
      </c>
    </row>
    <row r="39" spans="1:26" x14ac:dyDescent="0.25">
      <c r="A39" s="253">
        <v>36</v>
      </c>
      <c r="B39" s="5" t="s">
        <v>1951</v>
      </c>
      <c r="C39" s="6">
        <v>46252</v>
      </c>
      <c r="D39" s="16" t="s">
        <v>1644</v>
      </c>
      <c r="E39" s="16" t="s">
        <v>1892</v>
      </c>
      <c r="F39" s="10">
        <v>650000</v>
      </c>
      <c r="G39" s="339"/>
      <c r="J39" s="16" t="s">
        <v>1464</v>
      </c>
      <c r="K39" s="122">
        <v>200000</v>
      </c>
      <c r="O39" s="16">
        <v>18</v>
      </c>
      <c r="P39" s="114"/>
      <c r="Q39" s="114"/>
      <c r="R39" s="114"/>
      <c r="S39" s="16">
        <v>9</v>
      </c>
      <c r="T39" s="5" t="s">
        <v>1594</v>
      </c>
      <c r="U39" s="16" t="s">
        <v>578</v>
      </c>
      <c r="V39" s="6">
        <v>46175</v>
      </c>
      <c r="W39" s="16" t="s">
        <v>1595</v>
      </c>
      <c r="X39" s="10">
        <v>2500000</v>
      </c>
    </row>
    <row r="40" spans="1:26" x14ac:dyDescent="0.25">
      <c r="A40" s="253">
        <v>37</v>
      </c>
      <c r="B40" s="5" t="s">
        <v>1946</v>
      </c>
      <c r="C40" s="6">
        <v>46252</v>
      </c>
      <c r="D40" s="16" t="s">
        <v>1687</v>
      </c>
      <c r="E40" s="19" t="s">
        <v>1955</v>
      </c>
      <c r="F40" s="10">
        <v>200000</v>
      </c>
      <c r="G40" s="339"/>
      <c r="J40" s="16" t="s">
        <v>171</v>
      </c>
      <c r="K40" s="122">
        <v>13100000</v>
      </c>
      <c r="O40" s="16">
        <v>19</v>
      </c>
      <c r="P40" s="114"/>
      <c r="Q40" s="114"/>
      <c r="R40" s="114"/>
      <c r="S40" s="16">
        <v>10</v>
      </c>
      <c r="T40" s="5" t="s">
        <v>1603</v>
      </c>
      <c r="U40" s="16" t="s">
        <v>323</v>
      </c>
      <c r="V40" s="6">
        <v>46179</v>
      </c>
      <c r="W40" s="221" t="s">
        <v>1605</v>
      </c>
      <c r="X40" s="10">
        <v>700000</v>
      </c>
    </row>
    <row r="41" spans="1:26" x14ac:dyDescent="0.25">
      <c r="A41" s="253">
        <v>38</v>
      </c>
      <c r="B41" s="5" t="s">
        <v>1960</v>
      </c>
      <c r="C41" s="6">
        <v>46252</v>
      </c>
      <c r="D41" s="16" t="s">
        <v>1961</v>
      </c>
      <c r="E41" s="16" t="s">
        <v>1962</v>
      </c>
      <c r="F41" s="10">
        <v>450000</v>
      </c>
      <c r="G41" s="339"/>
      <c r="J41" s="17"/>
      <c r="K41" s="122"/>
      <c r="O41" s="16">
        <v>20</v>
      </c>
      <c r="P41" s="114"/>
      <c r="Q41" s="114"/>
      <c r="R41" s="114"/>
      <c r="S41" s="16">
        <v>11</v>
      </c>
      <c r="T41" s="5" t="s">
        <v>1609</v>
      </c>
      <c r="U41" s="16" t="s">
        <v>578</v>
      </c>
      <c r="V41" s="6">
        <v>46180</v>
      </c>
      <c r="W41" s="16" t="s">
        <v>1611</v>
      </c>
      <c r="X41" s="10">
        <v>1500000</v>
      </c>
    </row>
    <row r="42" spans="1:26" x14ac:dyDescent="0.25">
      <c r="A42" s="253">
        <v>39</v>
      </c>
      <c r="B42" s="5" t="s">
        <v>1963</v>
      </c>
      <c r="C42" s="6">
        <v>46252</v>
      </c>
      <c r="D42" s="16" t="s">
        <v>1749</v>
      </c>
      <c r="E42" s="16" t="s">
        <v>1966</v>
      </c>
      <c r="F42" s="10">
        <v>10000000</v>
      </c>
      <c r="G42" s="339"/>
      <c r="J42" s="17"/>
      <c r="K42" s="122">
        <f>SUM(K37:K41)</f>
        <v>31300000</v>
      </c>
      <c r="O42" s="16">
        <v>21</v>
      </c>
      <c r="P42" s="114" t="s">
        <v>1833</v>
      </c>
      <c r="Q42" s="114"/>
      <c r="R42" s="114"/>
      <c r="S42" s="16">
        <v>12</v>
      </c>
      <c r="T42" s="5" t="s">
        <v>1612</v>
      </c>
      <c r="U42" s="16" t="s">
        <v>578</v>
      </c>
      <c r="V42" s="6">
        <v>46180</v>
      </c>
      <c r="W42" s="221" t="s">
        <v>1615</v>
      </c>
      <c r="X42" s="10">
        <v>150000</v>
      </c>
    </row>
    <row r="43" spans="1:26" x14ac:dyDescent="0.25">
      <c r="A43" s="253">
        <v>40</v>
      </c>
      <c r="B43" s="5" t="s">
        <v>1964</v>
      </c>
      <c r="C43" s="6">
        <v>46252</v>
      </c>
      <c r="D43" s="16" t="s">
        <v>578</v>
      </c>
      <c r="E43" s="16" t="s">
        <v>1967</v>
      </c>
      <c r="F43" s="10">
        <v>30000000</v>
      </c>
      <c r="G43" s="339"/>
      <c r="J43" s="17"/>
      <c r="K43" s="122"/>
      <c r="O43" s="16">
        <v>22</v>
      </c>
      <c r="P43" s="114"/>
      <c r="Q43" s="114"/>
      <c r="R43" s="114"/>
      <c r="S43" s="16">
        <v>13</v>
      </c>
      <c r="T43" s="5" t="s">
        <v>1735</v>
      </c>
      <c r="U43" s="16" t="s">
        <v>578</v>
      </c>
      <c r="V43" s="6">
        <v>46207</v>
      </c>
      <c r="W43" s="16" t="s">
        <v>1737</v>
      </c>
      <c r="X43" s="10">
        <v>3000000</v>
      </c>
      <c r="Y43" s="215"/>
    </row>
    <row r="44" spans="1:26" x14ac:dyDescent="0.25">
      <c r="A44" s="253">
        <v>41</v>
      </c>
      <c r="B44" s="5" t="s">
        <v>1965</v>
      </c>
      <c r="C44" s="6">
        <v>46252</v>
      </c>
      <c r="D44" s="16" t="s">
        <v>1749</v>
      </c>
      <c r="E44" s="16" t="s">
        <v>1968</v>
      </c>
      <c r="F44" s="10">
        <v>8000000</v>
      </c>
      <c r="G44" s="339"/>
      <c r="J44" s="17"/>
      <c r="K44" s="122"/>
      <c r="O44" s="16">
        <v>23</v>
      </c>
      <c r="P44" s="114"/>
      <c r="Q44" s="114"/>
      <c r="R44" s="114"/>
      <c r="S44" s="16">
        <v>14</v>
      </c>
      <c r="T44" s="5" t="s">
        <v>1740</v>
      </c>
      <c r="U44" s="16" t="s">
        <v>578</v>
      </c>
      <c r="V44" s="6">
        <v>46209</v>
      </c>
      <c r="W44" s="16" t="s">
        <v>1741</v>
      </c>
      <c r="X44" s="10">
        <v>1250000</v>
      </c>
    </row>
    <row r="45" spans="1:26" x14ac:dyDescent="0.25">
      <c r="A45" s="158">
        <v>42</v>
      </c>
      <c r="B45" s="247" t="s">
        <v>1971</v>
      </c>
      <c r="C45" s="248">
        <v>46253</v>
      </c>
      <c r="D45" s="158" t="s">
        <v>323</v>
      </c>
      <c r="E45" s="158" t="s">
        <v>1973</v>
      </c>
      <c r="F45" s="349"/>
      <c r="G45" s="250">
        <v>7000000</v>
      </c>
      <c r="J45" s="17"/>
      <c r="K45" s="122"/>
      <c r="O45" s="16">
        <v>24</v>
      </c>
      <c r="P45" s="114"/>
      <c r="Q45" s="114"/>
      <c r="R45" s="114"/>
      <c r="S45" s="16">
        <v>15</v>
      </c>
      <c r="T45" s="5"/>
      <c r="U45" s="16"/>
      <c r="V45" s="6"/>
      <c r="W45" s="221"/>
      <c r="X45" s="10"/>
      <c r="Y45" s="233"/>
      <c r="Z45" s="142"/>
    </row>
    <row r="46" spans="1:26" x14ac:dyDescent="0.25">
      <c r="A46" s="253">
        <v>43</v>
      </c>
      <c r="B46" s="5" t="s">
        <v>1972</v>
      </c>
      <c r="C46" s="6">
        <v>46253</v>
      </c>
      <c r="D46" s="16" t="s">
        <v>1749</v>
      </c>
      <c r="E46" s="350" t="s">
        <v>168</v>
      </c>
      <c r="F46" s="10">
        <v>7000000</v>
      </c>
      <c r="G46" s="17"/>
      <c r="H46" s="233"/>
      <c r="I46" s="142"/>
      <c r="J46" s="246"/>
      <c r="K46" s="122"/>
      <c r="O46" s="16">
        <v>25</v>
      </c>
      <c r="P46" s="219"/>
      <c r="Q46" s="114"/>
      <c r="R46" s="114"/>
      <c r="S46" s="16">
        <v>16</v>
      </c>
      <c r="T46" s="5" t="s">
        <v>1769</v>
      </c>
      <c r="U46" s="16" t="s">
        <v>1749</v>
      </c>
      <c r="V46" s="6">
        <v>46215</v>
      </c>
      <c r="W46" s="16" t="s">
        <v>1770</v>
      </c>
      <c r="X46" s="10">
        <v>100000</v>
      </c>
      <c r="Y46" s="232"/>
      <c r="Z46" s="233"/>
    </row>
    <row r="47" spans="1:26" x14ac:dyDescent="0.25">
      <c r="A47" s="253">
        <v>44</v>
      </c>
      <c r="B47" s="17"/>
      <c r="C47" s="17"/>
      <c r="D47" s="17"/>
      <c r="E47" s="17"/>
      <c r="F47" s="17"/>
      <c r="G47" s="17"/>
      <c r="H47" s="233"/>
      <c r="I47" s="142"/>
      <c r="J47" s="246" t="s">
        <v>1673</v>
      </c>
      <c r="K47" s="235">
        <f>50000000-K42</f>
        <v>18700000</v>
      </c>
      <c r="O47" s="16">
        <v>26</v>
      </c>
      <c r="P47" s="219"/>
      <c r="Q47" s="114"/>
      <c r="R47" s="114"/>
      <c r="S47" s="16">
        <v>17</v>
      </c>
      <c r="T47" s="5"/>
      <c r="U47" s="16"/>
      <c r="V47" s="6"/>
      <c r="W47" s="221"/>
      <c r="X47" s="10"/>
      <c r="Y47" s="19"/>
    </row>
    <row r="48" spans="1:26" x14ac:dyDescent="0.25">
      <c r="A48" s="253">
        <v>45</v>
      </c>
      <c r="B48" s="335"/>
      <c r="C48" s="337"/>
      <c r="D48" s="337"/>
      <c r="E48" s="337"/>
      <c r="F48" s="339"/>
      <c r="G48" s="340"/>
      <c r="H48" s="142"/>
      <c r="O48" s="16">
        <v>27</v>
      </c>
      <c r="P48" s="219"/>
      <c r="Q48" s="114"/>
      <c r="R48" s="114"/>
    </row>
    <row r="49" spans="1:18" x14ac:dyDescent="0.25">
      <c r="A49" s="253">
        <v>46</v>
      </c>
      <c r="B49" s="17"/>
      <c r="C49" s="337"/>
      <c r="D49" s="337"/>
      <c r="E49" s="337"/>
      <c r="F49" s="337"/>
      <c r="G49" s="339"/>
      <c r="H49" s="142"/>
      <c r="O49" s="16">
        <v>28</v>
      </c>
      <c r="P49" s="219"/>
      <c r="Q49" s="114"/>
      <c r="R49" s="114"/>
    </row>
    <row r="50" spans="1:18" ht="15.75" x14ac:dyDescent="0.25">
      <c r="A50" s="253">
        <v>47</v>
      </c>
      <c r="B50" s="17"/>
      <c r="C50" s="337"/>
      <c r="D50" s="337"/>
      <c r="E50" s="354"/>
      <c r="F50" s="337"/>
      <c r="G50" s="339"/>
      <c r="H50" s="142"/>
      <c r="O50" s="16">
        <v>29</v>
      </c>
      <c r="P50" s="219"/>
      <c r="Q50" s="114"/>
      <c r="R50" s="114"/>
    </row>
    <row r="51" spans="1:18" x14ac:dyDescent="0.25">
      <c r="A51" s="253">
        <v>48</v>
      </c>
      <c r="B51" s="335"/>
      <c r="C51" s="337"/>
      <c r="D51" s="337"/>
      <c r="E51" s="337"/>
      <c r="F51" s="339"/>
      <c r="G51" s="340"/>
      <c r="H51" s="142"/>
      <c r="O51" s="16">
        <v>30</v>
      </c>
      <c r="P51" s="114"/>
      <c r="Q51" s="114"/>
      <c r="R51" s="114"/>
    </row>
    <row r="52" spans="1:18" x14ac:dyDescent="0.25">
      <c r="A52" s="253">
        <v>49</v>
      </c>
      <c r="B52" s="335"/>
      <c r="C52" s="337"/>
      <c r="D52" s="337"/>
      <c r="E52" s="337"/>
      <c r="F52" s="339"/>
      <c r="G52" s="340"/>
      <c r="O52" s="16">
        <v>31</v>
      </c>
      <c r="P52" s="114"/>
      <c r="Q52" s="114"/>
      <c r="R52" s="114"/>
    </row>
    <row r="53" spans="1:18" x14ac:dyDescent="0.25">
      <c r="A53" s="253">
        <v>50</v>
      </c>
      <c r="B53" s="335"/>
      <c r="C53" s="337"/>
      <c r="D53" s="337"/>
      <c r="E53" s="337"/>
      <c r="F53" s="339"/>
      <c r="G53" s="340"/>
    </row>
    <row r="54" spans="1:18" x14ac:dyDescent="0.25">
      <c r="A54" s="253">
        <v>51</v>
      </c>
      <c r="B54" s="335"/>
      <c r="C54" s="337"/>
      <c r="D54" s="337"/>
      <c r="E54" s="337"/>
      <c r="F54" s="339"/>
      <c r="G54" s="340"/>
    </row>
    <row r="55" spans="1:18" x14ac:dyDescent="0.25">
      <c r="A55" s="253">
        <v>52</v>
      </c>
      <c r="B55" s="335"/>
      <c r="C55" s="337"/>
      <c r="D55" s="337"/>
      <c r="E55" s="337"/>
      <c r="F55" s="339"/>
      <c r="G55" s="340"/>
      <c r="N55" s="229"/>
      <c r="O55" s="229"/>
      <c r="P55" s="231" t="s">
        <v>1607</v>
      </c>
      <c r="Q55" s="224"/>
    </row>
    <row r="56" spans="1:18" x14ac:dyDescent="0.25">
      <c r="A56" s="253">
        <v>53</v>
      </c>
      <c r="B56" s="335"/>
      <c r="C56" s="337"/>
      <c r="D56" s="337"/>
      <c r="E56" s="337"/>
      <c r="F56" s="339"/>
      <c r="G56" s="340"/>
      <c r="N56" s="185" t="s">
        <v>1372</v>
      </c>
      <c r="O56" s="198" t="s">
        <v>1373</v>
      </c>
      <c r="P56" s="198" t="s">
        <v>1423</v>
      </c>
      <c r="Q56" s="198" t="s">
        <v>1424</v>
      </c>
    </row>
    <row r="57" spans="1:18" ht="15.75" x14ac:dyDescent="0.25">
      <c r="A57" s="253">
        <v>54</v>
      </c>
      <c r="B57" s="335"/>
      <c r="C57" s="337"/>
      <c r="D57" s="338"/>
      <c r="E57" s="337"/>
      <c r="F57" s="339"/>
      <c r="G57" s="340"/>
      <c r="N57" s="16">
        <v>1</v>
      </c>
      <c r="O57" s="114"/>
      <c r="P57" s="114"/>
      <c r="Q57" s="114"/>
    </row>
    <row r="58" spans="1:18" x14ac:dyDescent="0.25">
      <c r="A58" s="253">
        <v>55</v>
      </c>
      <c r="B58" s="335"/>
      <c r="C58" s="337"/>
      <c r="D58" s="341"/>
      <c r="E58" s="337"/>
      <c r="F58" s="339"/>
      <c r="G58" s="340"/>
      <c r="N58" s="16">
        <v>2</v>
      </c>
      <c r="O58" s="114"/>
      <c r="P58" s="114"/>
      <c r="Q58" s="114"/>
    </row>
    <row r="59" spans="1:18" x14ac:dyDescent="0.25">
      <c r="A59" s="253">
        <v>56</v>
      </c>
      <c r="B59" s="335"/>
      <c r="C59" s="337"/>
      <c r="D59" s="337"/>
      <c r="E59" s="340"/>
      <c r="F59" s="336"/>
      <c r="G59" s="336"/>
      <c r="N59" s="16">
        <v>3</v>
      </c>
      <c r="O59" s="114"/>
      <c r="P59" s="114"/>
      <c r="Q59" s="114"/>
    </row>
    <row r="60" spans="1:18" x14ac:dyDescent="0.25">
      <c r="N60" s="16">
        <v>4</v>
      </c>
      <c r="O60" s="114"/>
      <c r="P60" s="114"/>
      <c r="Q60" s="114"/>
    </row>
    <row r="61" spans="1:18" x14ac:dyDescent="0.25">
      <c r="N61" s="16">
        <v>5</v>
      </c>
      <c r="O61" s="114"/>
      <c r="P61" s="114"/>
      <c r="Q61" s="114"/>
    </row>
    <row r="62" spans="1:18" x14ac:dyDescent="0.25">
      <c r="O62" s="16">
        <v>6</v>
      </c>
      <c r="P62" s="114" t="s">
        <v>1608</v>
      </c>
      <c r="Q62" s="114"/>
      <c r="R62" s="114"/>
    </row>
    <row r="63" spans="1:18" x14ac:dyDescent="0.25">
      <c r="O63" s="16">
        <v>7</v>
      </c>
      <c r="P63" s="114"/>
      <c r="Q63" s="114"/>
      <c r="R63" s="114"/>
    </row>
    <row r="64" spans="1:18" x14ac:dyDescent="0.25">
      <c r="H64" s="348"/>
      <c r="O64" s="16">
        <v>8</v>
      </c>
      <c r="P64" s="114" t="s">
        <v>1620</v>
      </c>
      <c r="Q64" s="114"/>
      <c r="R64" s="114"/>
    </row>
    <row r="65" spans="8:18" x14ac:dyDescent="0.25">
      <c r="H65" s="348"/>
      <c r="O65" s="16">
        <v>9</v>
      </c>
      <c r="P65" s="114" t="s">
        <v>1662</v>
      </c>
      <c r="Q65" s="114" t="s">
        <v>1665</v>
      </c>
      <c r="R65" s="114"/>
    </row>
    <row r="66" spans="8:18" x14ac:dyDescent="0.25">
      <c r="H66" s="348"/>
      <c r="O66" s="16">
        <v>10</v>
      </c>
      <c r="P66" s="114" t="s">
        <v>1668</v>
      </c>
      <c r="Q66" s="114"/>
      <c r="R66" s="114"/>
    </row>
    <row r="67" spans="8:18" x14ac:dyDescent="0.25">
      <c r="H67" s="348"/>
      <c r="O67" s="16">
        <v>11</v>
      </c>
      <c r="P67" s="114"/>
      <c r="Q67" s="114"/>
      <c r="R67" s="114"/>
    </row>
    <row r="68" spans="8:18" x14ac:dyDescent="0.25">
      <c r="H68" s="348"/>
      <c r="O68" s="16">
        <v>12</v>
      </c>
      <c r="P68" s="114"/>
      <c r="Q68" s="114"/>
      <c r="R68" s="114"/>
    </row>
    <row r="69" spans="8:18" x14ac:dyDescent="0.25">
      <c r="H69" s="348"/>
      <c r="O69" s="16">
        <v>13</v>
      </c>
      <c r="P69" s="114"/>
      <c r="Q69" s="114"/>
      <c r="R69" s="114"/>
    </row>
    <row r="70" spans="8:18" x14ac:dyDescent="0.25">
      <c r="H70" s="348"/>
      <c r="O70" s="16">
        <v>14</v>
      </c>
      <c r="P70" s="114"/>
      <c r="Q70" s="114"/>
      <c r="R70" s="114"/>
    </row>
    <row r="71" spans="8:18" x14ac:dyDescent="0.25">
      <c r="H71" s="348"/>
      <c r="O71" s="16">
        <v>15</v>
      </c>
      <c r="P71" s="114"/>
      <c r="Q71" s="114"/>
      <c r="R71" s="114"/>
    </row>
    <row r="72" spans="8:18" x14ac:dyDescent="0.25">
      <c r="H72" s="348"/>
      <c r="O72" s="16">
        <v>16</v>
      </c>
      <c r="P72" s="114"/>
      <c r="Q72" s="114"/>
      <c r="R72" s="114"/>
    </row>
    <row r="73" spans="8:18" x14ac:dyDescent="0.25">
      <c r="O73" s="16">
        <v>17</v>
      </c>
      <c r="P73" s="114"/>
      <c r="Q73" s="114"/>
      <c r="R73" s="114"/>
    </row>
    <row r="74" spans="8:18" x14ac:dyDescent="0.25">
      <c r="O74" s="16">
        <v>18</v>
      </c>
      <c r="P74" s="114"/>
      <c r="Q74" s="114"/>
      <c r="R74" s="114"/>
    </row>
    <row r="75" spans="8:18" x14ac:dyDescent="0.25">
      <c r="O75" s="16">
        <v>19</v>
      </c>
      <c r="P75" s="114"/>
      <c r="Q75" s="114"/>
      <c r="R75" s="114"/>
    </row>
    <row r="76" spans="8:18" x14ac:dyDescent="0.25">
      <c r="O76" s="16">
        <v>20</v>
      </c>
      <c r="P76" s="114"/>
      <c r="Q76" s="114"/>
      <c r="R76" s="114"/>
    </row>
    <row r="77" spans="8:18" x14ac:dyDescent="0.25">
      <c r="H77" s="348"/>
      <c r="O77" s="16">
        <v>21</v>
      </c>
      <c r="P77" s="114" t="s">
        <v>1717</v>
      </c>
      <c r="Q77" s="114"/>
      <c r="R77" s="114"/>
    </row>
    <row r="78" spans="8:18" x14ac:dyDescent="0.25">
      <c r="H78" s="348"/>
      <c r="O78" s="16">
        <v>22</v>
      </c>
      <c r="P78" s="114"/>
      <c r="Q78" s="114"/>
      <c r="R78" s="114"/>
    </row>
    <row r="79" spans="8:18" x14ac:dyDescent="0.25">
      <c r="O79" s="16">
        <v>23</v>
      </c>
      <c r="P79" s="114"/>
      <c r="Q79" s="114"/>
      <c r="R79" s="114"/>
    </row>
    <row r="80" spans="8:18" x14ac:dyDescent="0.25">
      <c r="O80" s="16">
        <v>24</v>
      </c>
      <c r="P80" s="114"/>
      <c r="Q80" s="114"/>
      <c r="R80" s="114"/>
    </row>
    <row r="81" spans="1:18" x14ac:dyDescent="0.25">
      <c r="O81" s="16">
        <v>25</v>
      </c>
      <c r="P81" s="219"/>
      <c r="Q81" s="114"/>
      <c r="R81" s="114"/>
    </row>
    <row r="82" spans="1:18" x14ac:dyDescent="0.25">
      <c r="O82" s="16">
        <v>26</v>
      </c>
      <c r="P82" s="219"/>
      <c r="Q82" s="114"/>
      <c r="R82" s="114"/>
    </row>
    <row r="83" spans="1:18" x14ac:dyDescent="0.25">
      <c r="O83" s="16">
        <v>27</v>
      </c>
      <c r="P83" s="219"/>
      <c r="Q83" s="114"/>
      <c r="R83" s="114"/>
    </row>
    <row r="84" spans="1:18" x14ac:dyDescent="0.25">
      <c r="H84" s="344"/>
      <c r="I84" s="344"/>
      <c r="J84" s="344"/>
      <c r="K84" s="344"/>
      <c r="L84" s="344"/>
      <c r="M84" s="344"/>
      <c r="O84" s="16">
        <v>28</v>
      </c>
      <c r="P84" s="219"/>
      <c r="Q84" s="114"/>
      <c r="R84" s="114"/>
    </row>
    <row r="85" spans="1:18" ht="15.75" x14ac:dyDescent="0.25">
      <c r="H85" s="351"/>
      <c r="I85" s="352"/>
      <c r="J85" s="347"/>
      <c r="K85" s="348"/>
      <c r="L85" s="344"/>
      <c r="M85" s="344"/>
      <c r="O85" s="16">
        <v>29</v>
      </c>
      <c r="P85" s="219"/>
      <c r="Q85" s="114"/>
      <c r="R85" s="114"/>
    </row>
    <row r="86" spans="1:18" ht="15.75" x14ac:dyDescent="0.25">
      <c r="H86" s="353"/>
      <c r="I86" s="346"/>
      <c r="J86" s="347"/>
      <c r="K86" s="348"/>
      <c r="L86" s="344"/>
      <c r="M86" s="344"/>
      <c r="O86" s="16">
        <v>30</v>
      </c>
      <c r="P86" s="114"/>
      <c r="Q86" s="114"/>
      <c r="R86" s="114"/>
    </row>
    <row r="87" spans="1:18" x14ac:dyDescent="0.25">
      <c r="H87" s="345"/>
      <c r="I87" s="346"/>
      <c r="J87" s="347"/>
      <c r="K87" s="348"/>
      <c r="L87" s="344"/>
      <c r="M87" s="344"/>
      <c r="O87" s="16">
        <v>31</v>
      </c>
      <c r="P87" s="114"/>
      <c r="Q87" s="114"/>
      <c r="R87" s="114"/>
    </row>
    <row r="88" spans="1:18" x14ac:dyDescent="0.25">
      <c r="A88" s="342"/>
      <c r="B88" s="343"/>
      <c r="C88" s="344"/>
      <c r="D88" s="345"/>
      <c r="E88" s="345"/>
      <c r="F88" s="348"/>
      <c r="G88" s="344"/>
      <c r="H88" s="344"/>
      <c r="I88" s="345"/>
      <c r="J88" s="346"/>
      <c r="K88" s="347"/>
      <c r="L88" s="348"/>
      <c r="M88" s="344"/>
    </row>
    <row r="89" spans="1:18" x14ac:dyDescent="0.25">
      <c r="A89" s="342"/>
      <c r="B89" s="343"/>
      <c r="C89" s="344"/>
      <c r="D89" s="345"/>
      <c r="E89" s="345"/>
      <c r="F89" s="348"/>
      <c r="G89" s="344"/>
      <c r="H89" s="344"/>
      <c r="I89" s="345"/>
      <c r="J89" s="346"/>
      <c r="K89" s="347"/>
      <c r="L89" s="348"/>
      <c r="M89" s="344"/>
    </row>
    <row r="90" spans="1:18" x14ac:dyDescent="0.25">
      <c r="A90" s="342"/>
      <c r="B90" s="343"/>
      <c r="C90" s="344"/>
      <c r="D90" s="345"/>
      <c r="E90" s="345"/>
      <c r="F90" s="348"/>
      <c r="G90" s="344"/>
      <c r="H90" s="344"/>
      <c r="I90" s="345"/>
      <c r="J90" s="346"/>
      <c r="K90" s="347"/>
      <c r="L90" s="348"/>
      <c r="M90" s="344"/>
    </row>
    <row r="91" spans="1:18" x14ac:dyDescent="0.25">
      <c r="A91" s="342"/>
      <c r="B91" s="343"/>
      <c r="C91" s="344"/>
      <c r="D91" s="345"/>
      <c r="E91" s="345"/>
      <c r="F91" s="348"/>
      <c r="G91" s="344"/>
      <c r="H91" s="344"/>
      <c r="I91" s="344"/>
      <c r="J91" s="344"/>
      <c r="K91" s="344"/>
      <c r="L91" s="348"/>
      <c r="M91" s="344"/>
    </row>
    <row r="92" spans="1:18" x14ac:dyDescent="0.25">
      <c r="A92" s="342"/>
      <c r="B92" s="343"/>
      <c r="C92" s="344"/>
      <c r="D92" s="345"/>
      <c r="E92" s="345"/>
      <c r="F92" s="348"/>
      <c r="G92" s="344"/>
      <c r="H92" s="344"/>
      <c r="I92" s="344"/>
      <c r="J92" s="344"/>
      <c r="K92" s="344"/>
      <c r="L92" s="344"/>
      <c r="M92" s="344"/>
    </row>
    <row r="93" spans="1:18" x14ac:dyDescent="0.25">
      <c r="A93" s="344"/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O93" s="229"/>
      <c r="P93" s="229"/>
      <c r="Q93" s="229" t="s">
        <v>1374</v>
      </c>
      <c r="R93" s="224"/>
    </row>
    <row r="94" spans="1:18" x14ac:dyDescent="0.25">
      <c r="A94" s="344"/>
      <c r="B94" s="344"/>
      <c r="C94" s="344"/>
      <c r="D94" s="344"/>
      <c r="E94" s="344"/>
      <c r="O94" s="185" t="s">
        <v>1372</v>
      </c>
      <c r="P94" s="198" t="s">
        <v>1373</v>
      </c>
      <c r="Q94" s="198" t="s">
        <v>1423</v>
      </c>
      <c r="R94" s="198" t="s">
        <v>1424</v>
      </c>
    </row>
    <row r="95" spans="1:18" x14ac:dyDescent="0.25">
      <c r="A95" s="344"/>
      <c r="B95" s="344"/>
      <c r="C95" s="344"/>
      <c r="D95" s="344"/>
      <c r="E95" s="344"/>
      <c r="O95" s="16">
        <v>1</v>
      </c>
      <c r="P95" s="114"/>
      <c r="Q95" s="114"/>
      <c r="R95" s="114"/>
    </row>
    <row r="96" spans="1:18" x14ac:dyDescent="0.25">
      <c r="O96" s="16">
        <v>2</v>
      </c>
      <c r="P96" s="114"/>
      <c r="Q96" s="114"/>
      <c r="R96" s="114"/>
    </row>
    <row r="97" spans="15:18" x14ac:dyDescent="0.25">
      <c r="O97" s="16">
        <v>3</v>
      </c>
      <c r="P97" s="114"/>
      <c r="Q97" s="114"/>
      <c r="R97" s="114"/>
    </row>
    <row r="98" spans="15:18" x14ac:dyDescent="0.25">
      <c r="O98" s="16">
        <v>4</v>
      </c>
      <c r="P98" s="114"/>
      <c r="Q98" s="114"/>
      <c r="R98" s="114"/>
    </row>
    <row r="99" spans="15:18" x14ac:dyDescent="0.25">
      <c r="O99" s="16">
        <v>5</v>
      </c>
      <c r="P99" s="114"/>
      <c r="Q99" s="114"/>
      <c r="R99" s="114"/>
    </row>
    <row r="100" spans="15:18" x14ac:dyDescent="0.25">
      <c r="O100" s="16">
        <v>6</v>
      </c>
      <c r="P100" s="114"/>
      <c r="Q100" s="114"/>
      <c r="R100" s="114"/>
    </row>
    <row r="101" spans="15:18" x14ac:dyDescent="0.25">
      <c r="O101" s="16">
        <v>7</v>
      </c>
      <c r="P101" s="114"/>
      <c r="Q101" s="114"/>
      <c r="R101" s="114"/>
    </row>
    <row r="102" spans="15:18" x14ac:dyDescent="0.25">
      <c r="O102" s="16">
        <v>8</v>
      </c>
      <c r="P102" s="114"/>
      <c r="Q102" s="114"/>
      <c r="R102" s="114"/>
    </row>
    <row r="103" spans="15:18" x14ac:dyDescent="0.25">
      <c r="O103" s="16">
        <v>9</v>
      </c>
      <c r="P103" s="114"/>
      <c r="Q103" s="114"/>
      <c r="R103" s="114"/>
    </row>
    <row r="104" spans="15:18" x14ac:dyDescent="0.25">
      <c r="O104" s="16">
        <v>10</v>
      </c>
      <c r="P104" s="114"/>
      <c r="Q104" s="114"/>
      <c r="R104" s="114"/>
    </row>
    <row r="105" spans="15:18" x14ac:dyDescent="0.25">
      <c r="O105" s="16">
        <v>11</v>
      </c>
      <c r="P105" s="114"/>
      <c r="Q105" s="114"/>
      <c r="R105" s="114"/>
    </row>
    <row r="106" spans="15:18" x14ac:dyDescent="0.25">
      <c r="O106" s="16">
        <v>12</v>
      </c>
      <c r="P106" s="114"/>
      <c r="Q106" s="114"/>
      <c r="R106" s="114"/>
    </row>
    <row r="107" spans="15:18" x14ac:dyDescent="0.25">
      <c r="O107" s="16">
        <v>13</v>
      </c>
      <c r="P107" s="114"/>
      <c r="Q107" s="114"/>
      <c r="R107" s="114"/>
    </row>
    <row r="108" spans="15:18" x14ac:dyDescent="0.25">
      <c r="O108" s="16">
        <v>14</v>
      </c>
      <c r="P108" s="114"/>
      <c r="Q108" s="114"/>
      <c r="R108" s="114"/>
    </row>
    <row r="109" spans="15:18" x14ac:dyDescent="0.25">
      <c r="O109" s="16">
        <v>15</v>
      </c>
      <c r="P109" s="114"/>
      <c r="Q109" s="114"/>
      <c r="R109" s="114"/>
    </row>
    <row r="110" spans="15:18" x14ac:dyDescent="0.25">
      <c r="O110" s="16">
        <v>16</v>
      </c>
      <c r="P110" s="114"/>
      <c r="Q110" s="114"/>
      <c r="R110" s="114"/>
    </row>
    <row r="111" spans="15:18" x14ac:dyDescent="0.25">
      <c r="O111" s="16">
        <v>17</v>
      </c>
      <c r="P111" s="114" t="s">
        <v>1522</v>
      </c>
      <c r="Q111" s="114"/>
      <c r="R111" s="114"/>
    </row>
    <row r="112" spans="15:18" x14ac:dyDescent="0.25">
      <c r="O112" s="16">
        <v>18</v>
      </c>
      <c r="P112" s="114" t="s">
        <v>1520</v>
      </c>
      <c r="Q112" s="114" t="s">
        <v>1521</v>
      </c>
      <c r="R112" s="114"/>
    </row>
    <row r="113" spans="15:18" x14ac:dyDescent="0.25">
      <c r="O113" s="16">
        <v>19</v>
      </c>
      <c r="P113" s="114"/>
      <c r="Q113" s="114"/>
      <c r="R113" s="114"/>
    </row>
    <row r="114" spans="15:18" x14ac:dyDescent="0.25">
      <c r="O114" s="16">
        <v>20</v>
      </c>
      <c r="P114" s="114"/>
      <c r="Q114" s="114"/>
      <c r="R114" s="114"/>
    </row>
    <row r="115" spans="15:18" x14ac:dyDescent="0.25">
      <c r="O115" s="16">
        <v>21</v>
      </c>
      <c r="P115" s="114" t="s">
        <v>1551</v>
      </c>
      <c r="Q115" s="114" t="s">
        <v>1552</v>
      </c>
      <c r="R115" s="114"/>
    </row>
    <row r="116" spans="15:18" x14ac:dyDescent="0.25">
      <c r="O116" s="16">
        <v>22</v>
      </c>
      <c r="P116" s="114"/>
      <c r="Q116" s="114"/>
      <c r="R116" s="114"/>
    </row>
    <row r="117" spans="15:18" x14ac:dyDescent="0.25">
      <c r="O117" s="16">
        <v>23</v>
      </c>
      <c r="P117" s="114"/>
      <c r="Q117" s="114"/>
      <c r="R117" s="114"/>
    </row>
    <row r="118" spans="15:18" x14ac:dyDescent="0.25">
      <c r="O118" s="16">
        <v>24</v>
      </c>
      <c r="P118" s="114"/>
      <c r="Q118" s="114"/>
      <c r="R118" s="114"/>
    </row>
    <row r="119" spans="15:18" x14ac:dyDescent="0.25">
      <c r="O119" s="16">
        <v>25</v>
      </c>
      <c r="P119" s="219"/>
      <c r="Q119" s="114"/>
      <c r="R119" s="114"/>
    </row>
    <row r="120" spans="15:18" x14ac:dyDescent="0.25">
      <c r="O120" s="16">
        <v>26</v>
      </c>
      <c r="P120" s="219"/>
      <c r="Q120" s="114"/>
      <c r="R120" s="114"/>
    </row>
    <row r="121" spans="15:18" x14ac:dyDescent="0.25">
      <c r="O121" s="16">
        <v>27</v>
      </c>
      <c r="P121" s="219"/>
      <c r="Q121" s="114"/>
      <c r="R121" s="114"/>
    </row>
    <row r="122" spans="15:18" x14ac:dyDescent="0.25">
      <c r="O122" s="16">
        <v>28</v>
      </c>
      <c r="P122" s="219"/>
      <c r="Q122" s="114"/>
      <c r="R122" s="114"/>
    </row>
    <row r="123" spans="15:18" x14ac:dyDescent="0.25">
      <c r="O123" s="16">
        <v>29</v>
      </c>
      <c r="P123" s="219"/>
      <c r="Q123" s="114"/>
      <c r="R123" s="114"/>
    </row>
    <row r="124" spans="15:18" x14ac:dyDescent="0.25">
      <c r="O124" s="16">
        <v>30</v>
      </c>
      <c r="P124" s="114"/>
      <c r="Q124" s="114"/>
      <c r="R124" s="114"/>
    </row>
    <row r="125" spans="15:18" x14ac:dyDescent="0.25">
      <c r="O125" s="16">
        <v>31</v>
      </c>
      <c r="P125" s="114" t="s">
        <v>1568</v>
      </c>
      <c r="Q125" s="114" t="s">
        <v>1569</v>
      </c>
      <c r="R125" s="114" t="s">
        <v>1570</v>
      </c>
    </row>
  </sheetData>
  <dataConsolidate/>
  <mergeCells count="8">
    <mergeCell ref="A2:D2"/>
    <mergeCell ref="S28:T28"/>
    <mergeCell ref="S29:T29"/>
    <mergeCell ref="A1:E1"/>
    <mergeCell ref="W1:Z2"/>
    <mergeCell ref="O1:S2"/>
    <mergeCell ref="U29:V29"/>
    <mergeCell ref="U28:W28"/>
  </mergeCells>
  <phoneticPr fontId="38" type="noConversion"/>
  <conditionalFormatting sqref="T35:T36">
    <cfRule type="duplicateValues" dxfId="86" priority="77"/>
  </conditionalFormatting>
  <conditionalFormatting sqref="T33">
    <cfRule type="duplicateValues" dxfId="85" priority="76"/>
  </conditionalFormatting>
  <conditionalFormatting sqref="T32">
    <cfRule type="duplicateValues" dxfId="84" priority="75"/>
  </conditionalFormatting>
  <conditionalFormatting sqref="I18:I19 I26:I27 I46:I47 H23:H24 H48:H51 H64:H72">
    <cfRule type="expression" dxfId="83" priority="73" stopIfTrue="1">
      <formula>H18:H2017&gt;110000000</formula>
    </cfRule>
  </conditionalFormatting>
  <conditionalFormatting sqref="T38:T39">
    <cfRule type="duplicateValues" dxfId="82" priority="72"/>
  </conditionalFormatting>
  <conditionalFormatting sqref="T45 T40 T47">
    <cfRule type="duplicateValues" dxfId="81" priority="68"/>
  </conditionalFormatting>
  <conditionalFormatting sqref="T41">
    <cfRule type="duplicateValues" dxfId="80" priority="66"/>
  </conditionalFormatting>
  <conditionalFormatting sqref="T42">
    <cfRule type="duplicateValues" dxfId="79" priority="64"/>
  </conditionalFormatting>
  <conditionalFormatting sqref="X41:X42">
    <cfRule type="expression" dxfId="78" priority="509" stopIfTrue="1">
      <formula>H23:H2022&gt;110000000</formula>
    </cfRule>
  </conditionalFormatting>
  <conditionalFormatting sqref="T43">
    <cfRule type="duplicateValues" dxfId="77" priority="56"/>
  </conditionalFormatting>
  <conditionalFormatting sqref="T44">
    <cfRule type="duplicateValues" dxfId="76" priority="55"/>
  </conditionalFormatting>
  <conditionalFormatting sqref="T46">
    <cfRule type="duplicateValues" dxfId="75" priority="51"/>
  </conditionalFormatting>
  <conditionalFormatting sqref="B17:B18">
    <cfRule type="duplicateValues" dxfId="74" priority="26"/>
  </conditionalFormatting>
  <conditionalFormatting sqref="B4:B5">
    <cfRule type="duplicateValues" dxfId="73" priority="21"/>
  </conditionalFormatting>
  <conditionalFormatting sqref="B16">
    <cfRule type="duplicateValues" dxfId="72" priority="18"/>
  </conditionalFormatting>
  <conditionalFormatting sqref="B6:B15">
    <cfRule type="duplicateValues" dxfId="71" priority="16"/>
  </conditionalFormatting>
  <conditionalFormatting sqref="L88:L90">
    <cfRule type="expression" dxfId="70" priority="11" stopIfTrue="1">
      <formula>L88:L2088&gt;110000000</formula>
    </cfRule>
  </conditionalFormatting>
  <conditionalFormatting sqref="B33:B44 A88:A92">
    <cfRule type="duplicateValues" dxfId="69" priority="10"/>
  </conditionalFormatting>
  <conditionalFormatting sqref="B24">
    <cfRule type="duplicateValues" dxfId="68" priority="7"/>
  </conditionalFormatting>
  <conditionalFormatting sqref="F6:F13">
    <cfRule type="expression" dxfId="67" priority="563" stopIfTrue="1">
      <formula>I61:I2052&gt;110000000</formula>
    </cfRule>
  </conditionalFormatting>
  <conditionalFormatting sqref="F14:F15">
    <cfRule type="expression" dxfId="66" priority="564" stopIfTrue="1">
      <formula>I60:I2059&gt;110000000</formula>
    </cfRule>
  </conditionalFormatting>
  <conditionalFormatting sqref="B25:B32">
    <cfRule type="duplicateValues" dxfId="65" priority="6"/>
  </conditionalFormatting>
  <conditionalFormatting sqref="F35:F44">
    <cfRule type="expression" dxfId="64" priority="605" stopIfTrue="1">
      <formula>H95:H2094&gt;110000000</formula>
    </cfRule>
  </conditionalFormatting>
  <conditionalFormatting sqref="F88:F92">
    <cfRule type="expression" dxfId="63" priority="621" stopIfTrue="1">
      <formula>H88:H2087&gt;110000000</formula>
    </cfRule>
  </conditionalFormatting>
  <conditionalFormatting sqref="B19:B23">
    <cfRule type="duplicateValues" dxfId="62" priority="622"/>
  </conditionalFormatting>
  <conditionalFormatting sqref="G33:G34">
    <cfRule type="expression" dxfId="61" priority="636" stopIfTrue="1">
      <formula>H93:H2092&gt;110000000</formula>
    </cfRule>
  </conditionalFormatting>
  <conditionalFormatting sqref="B45:B46">
    <cfRule type="duplicateValues" dxfId="60" priority="4"/>
  </conditionalFormatting>
  <conditionalFormatting sqref="G51:G58 G48">
    <cfRule type="expression" dxfId="59" priority="665" stopIfTrue="1">
      <formula>H76:H2075&gt;110000000</formula>
    </cfRule>
  </conditionalFormatting>
  <conditionalFormatting sqref="K85">
    <cfRule type="expression" dxfId="58" priority="680" stopIfTrue="1">
      <formula>L85:L2086&gt;110000000</formula>
    </cfRule>
  </conditionalFormatting>
  <conditionalFormatting sqref="K86">
    <cfRule type="expression" dxfId="57" priority="681" stopIfTrue="1">
      <formula>L86:L2088&gt;110000000</formula>
    </cfRule>
  </conditionalFormatting>
  <conditionalFormatting sqref="K87">
    <cfRule type="expression" dxfId="56" priority="683" stopIfTrue="1">
      <formula>L87:L2087&gt;110000000</formula>
    </cfRule>
  </conditionalFormatting>
  <conditionalFormatting sqref="E59">
    <cfRule type="expression" dxfId="55" priority="694" stopIfTrue="1">
      <formula>H87:H2086&gt;110000000</formula>
    </cfRule>
  </conditionalFormatting>
  <conditionalFormatting sqref="H77:H78">
    <cfRule type="expression" dxfId="54" priority="697" stopIfTrue="1">
      <formula>I76:I2073&gt;110000000</formula>
    </cfRule>
  </conditionalFormatting>
  <conditionalFormatting sqref="G45">
    <cfRule type="expression" dxfId="53" priority="2" stopIfTrue="1">
      <formula>H72:H2069&gt;110000000</formula>
    </cfRule>
  </conditionalFormatting>
  <conditionalFormatting sqref="Z45">
    <cfRule type="expression" dxfId="52" priority="698" stopIfTrue="1">
      <formula>H18:H2017&gt;110000000</formula>
    </cfRule>
  </conditionalFormatting>
  <conditionalFormatting sqref="F27:F32">
    <cfRule type="expression" dxfId="51" priority="710" stopIfTrue="1">
      <formula>H55:H2054&gt;110000000</formula>
    </cfRule>
  </conditionalFormatting>
  <conditionalFormatting sqref="X38:X40">
    <cfRule type="expression" dxfId="10" priority="715" stopIfTrue="1">
      <formula>F60:F2010&gt;110000000</formula>
    </cfRule>
  </conditionalFormatting>
  <conditionalFormatting sqref="X43:X47">
    <cfRule type="expression" dxfId="9" priority="716" stopIfTrue="1">
      <formula>F60:F2015&gt;110000000</formula>
    </cfRule>
  </conditionalFormatting>
  <conditionalFormatting sqref="G4:G14 G16:G24 F4">
    <cfRule type="expression" dxfId="8" priority="717" stopIfTrue="1">
      <formula>F4:F2031&gt;110000000</formula>
    </cfRule>
  </conditionalFormatting>
  <conditionalFormatting sqref="F18:F21">
    <cfRule type="expression" dxfId="7" priority="720" stopIfTrue="1">
      <formula>F15:F2034&gt;110000000</formula>
    </cfRule>
  </conditionalFormatting>
  <conditionalFormatting sqref="F16">
    <cfRule type="expression" dxfId="6" priority="721" stopIfTrue="1">
      <formula>F6:F2033&gt;110000000</formula>
    </cfRule>
  </conditionalFormatting>
  <conditionalFormatting sqref="F17">
    <cfRule type="expression" dxfId="5" priority="722" stopIfTrue="1">
      <formula>F15:F2033&gt;110000000</formula>
    </cfRule>
  </conditionalFormatting>
  <conditionalFormatting sqref="F22:F23">
    <cfRule type="expression" dxfId="4" priority="723" stopIfTrue="1">
      <formula>F15:F2038&gt;110000000</formula>
    </cfRule>
  </conditionalFormatting>
  <conditionalFormatting sqref="F24">
    <cfRule type="expression" dxfId="3" priority="724" stopIfTrue="1">
      <formula>F25:F2050&gt;110000000</formula>
    </cfRule>
  </conditionalFormatting>
  <conditionalFormatting sqref="G15">
    <cfRule type="expression" dxfId="2" priority="725" stopIfTrue="1">
      <formula>G7:G2033&gt;110000000</formula>
    </cfRule>
  </conditionalFormatting>
  <conditionalFormatting sqref="G25:G26">
    <cfRule type="expression" dxfId="1" priority="726" stopIfTrue="1">
      <formula>F25:F2042&gt;110000000</formula>
    </cfRule>
  </conditionalFormatting>
  <conditionalFormatting sqref="F46">
    <cfRule type="expression" dxfId="0" priority="727" stopIfTrue="1">
      <formula>G45:G2070&gt;110000000</formula>
    </cfRule>
  </conditionalFormatting>
  <pageMargins left="0.7" right="0.7" top="0.75" bottom="0.75" header="0.3" footer="0.3"/>
  <pageSetup scale="26" orientation="landscape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1211BE6-BD67-493D-80DF-F822F3BD9B65}">
          <x14:formula1>
            <xm:f>'ابو مرتضى'!$AB$4:$AB$10</xm:f>
          </x14:formula1>
          <xm:sqref>R4:R5 Q18 Q16 Y23</xm:sqref>
        </x14:dataValidation>
        <x14:dataValidation type="list" allowBlank="1" showInputMessage="1" showErrorMessage="1" xr:uid="{423D0940-5C7B-47ED-9D31-F620AC5B95F0}">
          <x14:formula1>
            <xm:f>'ابو مرتضى'!$AB$4:$AB$5</xm:f>
          </x14:formula1>
          <xm:sqref>Y4:Y7</xm:sqref>
        </x14:dataValidation>
        <x14:dataValidation type="list" allowBlank="1" showInputMessage="1" showErrorMessage="1" xr:uid="{4B87F0B4-4DBB-42BD-A5F6-4F83D186672C}">
          <x14:formula1>
            <xm:f>'ابو مرتضى'!$AB$4:$AB$9</xm:f>
          </x14:formula1>
          <xm:sqref>C88:C92</xm:sqref>
        </x14:dataValidation>
        <x14:dataValidation type="list" allowBlank="1" showInputMessage="1" showErrorMessage="1" xr:uid="{EDB22FDD-49BF-44FC-970C-9C4AC3241816}">
          <x14:formula1>
            <xm:f>'ابو مرتضى'!$AC$4:$AC$15</xm:f>
          </x14:formula1>
          <xm:sqref>Q4:Q5 X4:X7 P16 P18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7F946-F2B6-444D-A426-112593E320B0}">
  <sheetPr codeName="Sheet4">
    <tabColor theme="3" tint="0.79998168889431442"/>
    <pageSetUpPr fitToPage="1"/>
  </sheetPr>
  <dimension ref="A1:AK141"/>
  <sheetViews>
    <sheetView rightToLeft="1" topLeftCell="Q1" zoomScale="90" zoomScaleNormal="90" workbookViewId="0">
      <selection activeCell="AB24" sqref="AB24"/>
    </sheetView>
  </sheetViews>
  <sheetFormatPr defaultRowHeight="15" x14ac:dyDescent="0.25"/>
  <cols>
    <col min="2" max="2" width="13.5703125" bestFit="1" customWidth="1"/>
    <col min="3" max="3" width="48.5703125" bestFit="1" customWidth="1"/>
    <col min="4" max="4" width="17.28515625" bestFit="1" customWidth="1"/>
    <col min="5" max="5" width="19.5703125" customWidth="1"/>
    <col min="6" max="6" width="41.7109375" bestFit="1" customWidth="1"/>
    <col min="8" max="8" width="10.28515625" customWidth="1"/>
    <col min="9" max="9" width="17.28515625" customWidth="1"/>
    <col min="11" max="11" width="15.85546875" bestFit="1" customWidth="1"/>
    <col min="12" max="12" width="12.7109375" bestFit="1" customWidth="1"/>
    <col min="13" max="13" width="11.28515625" bestFit="1" customWidth="1"/>
    <col min="14" max="14" width="11.5703125" bestFit="1" customWidth="1"/>
    <col min="15" max="15" width="14.140625" bestFit="1" customWidth="1"/>
    <col min="16" max="16" width="41.7109375" bestFit="1" customWidth="1"/>
    <col min="17" max="17" width="19.5703125" bestFit="1" customWidth="1"/>
    <col min="18" max="18" width="18" customWidth="1"/>
    <col min="19" max="19" width="14.7109375" bestFit="1" customWidth="1"/>
    <col min="20" max="20" width="17.7109375" customWidth="1"/>
    <col min="21" max="21" width="19.7109375" bestFit="1" customWidth="1"/>
    <col min="22" max="22" width="36.28515625" bestFit="1" customWidth="1"/>
    <col min="23" max="23" width="6.5703125" bestFit="1" customWidth="1"/>
    <col min="24" max="24" width="12.7109375" customWidth="1"/>
    <col min="25" max="25" width="15.28515625" customWidth="1"/>
    <col min="26" max="26" width="24.85546875" customWidth="1"/>
    <col min="27" max="27" width="29.85546875" customWidth="1"/>
    <col min="28" max="28" width="17.7109375" bestFit="1" customWidth="1"/>
    <col min="29" max="29" width="14.7109375" bestFit="1" customWidth="1"/>
    <col min="31" max="31" width="23.140625" customWidth="1"/>
    <col min="32" max="32" width="17" customWidth="1"/>
    <col min="33" max="33" width="14.7109375" bestFit="1" customWidth="1"/>
    <col min="36" max="36" width="11.28515625" bestFit="1" customWidth="1"/>
    <col min="37" max="37" width="14.7109375" bestFit="1" customWidth="1"/>
    <col min="39" max="39" width="16.42578125" bestFit="1" customWidth="1"/>
    <col min="52" max="52" width="11.5703125" customWidth="1"/>
    <col min="53" max="53" width="6.28515625" customWidth="1"/>
    <col min="54" max="54" width="7" customWidth="1"/>
    <col min="55" max="55" width="20.140625" bestFit="1" customWidth="1"/>
    <col min="57" max="57" width="19.7109375" customWidth="1"/>
  </cols>
  <sheetData>
    <row r="1" spans="1:37" ht="20.25" customHeight="1" x14ac:dyDescent="0.25">
      <c r="A1" s="286" t="s">
        <v>1391</v>
      </c>
      <c r="B1" s="287"/>
      <c r="C1" s="287"/>
      <c r="D1" s="287"/>
      <c r="E1" s="287"/>
      <c r="F1" s="288"/>
      <c r="G1" s="292" t="s">
        <v>619</v>
      </c>
      <c r="H1" s="288"/>
      <c r="I1" s="293">
        <f>SUM(I4:I8)</f>
        <v>12416000</v>
      </c>
      <c r="M1" s="282" t="s">
        <v>1902</v>
      </c>
      <c r="N1" s="282"/>
      <c r="O1" s="282"/>
      <c r="P1" s="282"/>
      <c r="Q1" s="282"/>
      <c r="R1" s="12" t="s">
        <v>405</v>
      </c>
      <c r="S1" s="52">
        <v>99</v>
      </c>
      <c r="T1" s="59">
        <v>45593</v>
      </c>
      <c r="U1" s="60">
        <v>6000000</v>
      </c>
      <c r="V1" s="58"/>
      <c r="W1" s="52">
        <v>25</v>
      </c>
      <c r="X1" s="59">
        <v>45624</v>
      </c>
      <c r="Y1" s="60">
        <v>7000000</v>
      </c>
      <c r="Z1" s="19"/>
      <c r="AA1" s="34">
        <v>251</v>
      </c>
      <c r="AB1" s="40">
        <v>45707</v>
      </c>
      <c r="AC1" s="41">
        <v>7000000</v>
      </c>
      <c r="AD1" s="19"/>
      <c r="AE1" s="34">
        <v>379</v>
      </c>
      <c r="AF1" s="40">
        <v>45845</v>
      </c>
      <c r="AG1" s="41">
        <v>7000000</v>
      </c>
      <c r="AH1" s="19"/>
      <c r="AI1" s="34">
        <v>458</v>
      </c>
      <c r="AJ1" s="40">
        <v>45979</v>
      </c>
      <c r="AK1" s="41">
        <v>6000000</v>
      </c>
    </row>
    <row r="2" spans="1:37" ht="18.75" customHeight="1" x14ac:dyDescent="0.25">
      <c r="A2" s="289"/>
      <c r="B2" s="290"/>
      <c r="C2" s="290"/>
      <c r="D2" s="290"/>
      <c r="E2" s="290"/>
      <c r="F2" s="291"/>
      <c r="G2" s="289"/>
      <c r="H2" s="291"/>
      <c r="I2" s="294"/>
      <c r="M2" s="282" t="s">
        <v>237</v>
      </c>
      <c r="N2" s="282"/>
      <c r="O2" s="282"/>
      <c r="P2" s="282"/>
      <c r="Q2" s="155">
        <f>SUM(Q4:Q79)</f>
        <v>279000</v>
      </c>
      <c r="R2" s="47" t="s">
        <v>417</v>
      </c>
      <c r="S2" s="48" t="s">
        <v>242</v>
      </c>
      <c r="T2" s="47">
        <v>42</v>
      </c>
      <c r="U2" s="49">
        <v>97</v>
      </c>
      <c r="V2" s="56" t="s">
        <v>265</v>
      </c>
      <c r="X2" s="34">
        <v>579</v>
      </c>
      <c r="Y2" s="35">
        <v>46116</v>
      </c>
      <c r="Z2" s="36">
        <v>135000000</v>
      </c>
      <c r="AA2" s="19"/>
      <c r="AB2" s="34">
        <v>456</v>
      </c>
      <c r="AC2" s="40">
        <v>45977</v>
      </c>
      <c r="AD2" s="71">
        <v>100000000</v>
      </c>
    </row>
    <row r="3" spans="1:37" ht="17.25" customHeight="1" x14ac:dyDescent="0.25">
      <c r="A3" s="1" t="s">
        <v>0</v>
      </c>
      <c r="B3" s="89" t="s">
        <v>1</v>
      </c>
      <c r="C3" s="90" t="s">
        <v>2</v>
      </c>
      <c r="D3" s="90" t="s">
        <v>3</v>
      </c>
      <c r="E3" s="90" t="s">
        <v>4</v>
      </c>
      <c r="F3" s="91" t="s">
        <v>5</v>
      </c>
      <c r="G3" s="90" t="s">
        <v>615</v>
      </c>
      <c r="H3" s="2" t="s">
        <v>6</v>
      </c>
      <c r="I3" s="3" t="s">
        <v>7</v>
      </c>
      <c r="M3" s="117" t="s">
        <v>647</v>
      </c>
      <c r="N3" s="117" t="s">
        <v>2</v>
      </c>
      <c r="O3" s="117" t="s">
        <v>4</v>
      </c>
      <c r="P3" s="117" t="s">
        <v>5</v>
      </c>
      <c r="Q3" s="118" t="s">
        <v>648</v>
      </c>
      <c r="AB3" s="20" t="s">
        <v>3</v>
      </c>
      <c r="AC3" s="20" t="s">
        <v>615</v>
      </c>
      <c r="AD3" s="20" t="s">
        <v>659</v>
      </c>
    </row>
    <row r="4" spans="1:37" ht="15.75" customHeight="1" x14ac:dyDescent="0.25">
      <c r="A4" s="156">
        <v>1</v>
      </c>
      <c r="B4" s="50">
        <v>535</v>
      </c>
      <c r="C4" s="6">
        <v>45742</v>
      </c>
      <c r="D4" s="11" t="s">
        <v>9</v>
      </c>
      <c r="E4" s="8" t="s">
        <v>1381</v>
      </c>
      <c r="F4" s="16" t="s">
        <v>1382</v>
      </c>
      <c r="G4" s="147">
        <v>3</v>
      </c>
      <c r="H4" s="9"/>
      <c r="I4" s="189">
        <v>3980000</v>
      </c>
      <c r="M4" s="119">
        <v>1</v>
      </c>
      <c r="N4" s="109">
        <v>46245</v>
      </c>
      <c r="O4" s="120" t="s">
        <v>97</v>
      </c>
      <c r="P4" s="121" t="s">
        <v>1582</v>
      </c>
      <c r="Q4" s="115">
        <v>3000</v>
      </c>
      <c r="U4" s="217" t="s">
        <v>1512</v>
      </c>
      <c r="V4" s="218" t="s">
        <v>1513</v>
      </c>
      <c r="AB4" s="156" t="s">
        <v>9</v>
      </c>
      <c r="AC4" s="106" t="s">
        <v>616</v>
      </c>
      <c r="AD4" s="124" t="s">
        <v>724</v>
      </c>
    </row>
    <row r="5" spans="1:37" ht="15.75" customHeight="1" x14ac:dyDescent="0.25">
      <c r="A5" s="156">
        <v>2</v>
      </c>
      <c r="B5" s="50">
        <v>677</v>
      </c>
      <c r="C5" s="6">
        <v>45785</v>
      </c>
      <c r="D5" s="11" t="s">
        <v>9</v>
      </c>
      <c r="E5" s="8" t="s">
        <v>1381</v>
      </c>
      <c r="F5" s="16" t="s">
        <v>1383</v>
      </c>
      <c r="G5" s="100" t="s">
        <v>620</v>
      </c>
      <c r="H5" s="9"/>
      <c r="I5" s="189">
        <v>1973000</v>
      </c>
      <c r="M5" s="119">
        <v>2</v>
      </c>
      <c r="N5" s="109">
        <v>46245</v>
      </c>
      <c r="O5" s="120" t="s">
        <v>97</v>
      </c>
      <c r="P5" s="121" t="s">
        <v>1827</v>
      </c>
      <c r="Q5" s="115">
        <v>1500</v>
      </c>
      <c r="U5" s="115">
        <v>74048000</v>
      </c>
      <c r="V5" s="115">
        <v>42000000</v>
      </c>
      <c r="AB5" s="156" t="s">
        <v>15</v>
      </c>
      <c r="AC5" s="106" t="s">
        <v>621</v>
      </c>
      <c r="AD5" s="124" t="s">
        <v>666</v>
      </c>
    </row>
    <row r="6" spans="1:37" ht="15.75" customHeight="1" x14ac:dyDescent="0.25">
      <c r="A6" s="156">
        <v>3</v>
      </c>
      <c r="B6" s="5" t="s">
        <v>1384</v>
      </c>
      <c r="C6" s="6">
        <v>45910</v>
      </c>
      <c r="D6" s="11" t="s">
        <v>9</v>
      </c>
      <c r="E6" s="8" t="s">
        <v>1381</v>
      </c>
      <c r="F6" s="171" t="s">
        <v>1385</v>
      </c>
      <c r="G6" s="147">
        <v>9</v>
      </c>
      <c r="H6" s="9"/>
      <c r="I6" s="10">
        <v>1973000</v>
      </c>
      <c r="M6" s="119">
        <v>3</v>
      </c>
      <c r="N6" s="109">
        <v>46245</v>
      </c>
      <c r="O6" s="120" t="s">
        <v>97</v>
      </c>
      <c r="P6" s="121" t="s">
        <v>1899</v>
      </c>
      <c r="Q6" s="115">
        <v>2000</v>
      </c>
      <c r="Z6" s="12" t="s">
        <v>405</v>
      </c>
      <c r="AB6" s="156" t="s">
        <v>26</v>
      </c>
      <c r="AC6" s="106" t="s">
        <v>622</v>
      </c>
      <c r="AD6" s="124" t="s">
        <v>1450</v>
      </c>
    </row>
    <row r="7" spans="1:37" ht="15.75" customHeight="1" x14ac:dyDescent="0.25">
      <c r="A7" s="156">
        <v>4</v>
      </c>
      <c r="B7" s="5" t="s">
        <v>1386</v>
      </c>
      <c r="C7" s="6">
        <v>45984</v>
      </c>
      <c r="D7" s="11" t="s">
        <v>9</v>
      </c>
      <c r="E7" s="8" t="s">
        <v>1381</v>
      </c>
      <c r="F7" s="171" t="s">
        <v>1387</v>
      </c>
      <c r="G7" s="147">
        <v>11</v>
      </c>
      <c r="H7" s="9"/>
      <c r="I7" s="10">
        <v>1600000</v>
      </c>
      <c r="M7" s="119">
        <v>4</v>
      </c>
      <c r="N7" s="109">
        <v>46245</v>
      </c>
      <c r="O7" s="120" t="s">
        <v>97</v>
      </c>
      <c r="P7" s="121" t="s">
        <v>1900</v>
      </c>
      <c r="Q7" s="115">
        <v>13000</v>
      </c>
      <c r="U7" s="19" t="s">
        <v>1453</v>
      </c>
      <c r="AB7" s="156" t="s">
        <v>21</v>
      </c>
      <c r="AC7" s="106" t="s">
        <v>623</v>
      </c>
      <c r="AD7" s="124" t="s">
        <v>1958</v>
      </c>
    </row>
    <row r="8" spans="1:37" ht="15.75" customHeight="1" x14ac:dyDescent="0.25">
      <c r="A8" s="156">
        <v>5</v>
      </c>
      <c r="B8" s="16" t="s">
        <v>1389</v>
      </c>
      <c r="C8" s="6">
        <v>46020</v>
      </c>
      <c r="D8" s="11" t="s">
        <v>9</v>
      </c>
      <c r="E8" s="16" t="s">
        <v>1390</v>
      </c>
      <c r="F8" s="171" t="s">
        <v>1388</v>
      </c>
      <c r="G8" s="147">
        <v>12</v>
      </c>
      <c r="H8" s="9"/>
      <c r="I8" s="10">
        <v>2890000</v>
      </c>
      <c r="M8" s="119">
        <v>5</v>
      </c>
      <c r="N8" s="109">
        <v>46245</v>
      </c>
      <c r="O8" s="120" t="s">
        <v>97</v>
      </c>
      <c r="P8" s="121" t="s">
        <v>1901</v>
      </c>
      <c r="Q8" s="115">
        <v>10000</v>
      </c>
      <c r="U8" s="115">
        <f>U5-V5</f>
        <v>32048000</v>
      </c>
      <c r="X8" s="12"/>
      <c r="Y8" s="52">
        <v>99</v>
      </c>
      <c r="Z8" s="59">
        <v>45593</v>
      </c>
      <c r="AA8" s="60">
        <v>6000000</v>
      </c>
      <c r="AB8" s="156" t="s">
        <v>23</v>
      </c>
      <c r="AC8" s="106" t="s">
        <v>620</v>
      </c>
    </row>
    <row r="9" spans="1:37" ht="15.75" customHeight="1" x14ac:dyDescent="0.25">
      <c r="A9" s="156">
        <v>6</v>
      </c>
      <c r="B9" s="16"/>
      <c r="C9" s="6"/>
      <c r="D9" s="11"/>
      <c r="E9" s="16"/>
      <c r="F9" s="13"/>
      <c r="G9" s="147"/>
      <c r="H9" s="9"/>
      <c r="I9" s="10"/>
      <c r="M9" s="119">
        <v>6</v>
      </c>
      <c r="N9" s="109">
        <v>46247</v>
      </c>
      <c r="O9" s="120" t="s">
        <v>97</v>
      </c>
      <c r="P9" s="121" t="s">
        <v>1827</v>
      </c>
      <c r="Q9" s="115">
        <v>1000</v>
      </c>
      <c r="AB9" s="156" t="s">
        <v>587</v>
      </c>
      <c r="AC9" s="106" t="s">
        <v>624</v>
      </c>
    </row>
    <row r="10" spans="1:37" ht="15.75" customHeight="1" x14ac:dyDescent="0.25">
      <c r="M10" s="119">
        <v>7</v>
      </c>
      <c r="N10" s="109">
        <v>46247</v>
      </c>
      <c r="O10" s="120" t="s">
        <v>97</v>
      </c>
      <c r="P10" s="121" t="s">
        <v>1582</v>
      </c>
      <c r="Q10" s="115">
        <v>3000</v>
      </c>
      <c r="Y10" s="52">
        <v>25</v>
      </c>
      <c r="Z10" s="59">
        <v>45624</v>
      </c>
      <c r="AA10" s="60">
        <v>7000000</v>
      </c>
      <c r="AB10" s="255" t="s">
        <v>1936</v>
      </c>
      <c r="AC10" s="106" t="s">
        <v>625</v>
      </c>
    </row>
    <row r="11" spans="1:37" ht="15.75" customHeight="1" x14ac:dyDescent="0.25">
      <c r="M11" s="119">
        <v>8</v>
      </c>
      <c r="N11" s="109">
        <v>46247</v>
      </c>
      <c r="O11" s="120" t="s">
        <v>97</v>
      </c>
      <c r="P11" s="121" t="s">
        <v>1903</v>
      </c>
      <c r="Q11" s="115">
        <v>7500</v>
      </c>
      <c r="AC11" s="106" t="s">
        <v>708</v>
      </c>
    </row>
    <row r="12" spans="1:37" ht="15.75" customHeight="1" x14ac:dyDescent="0.25">
      <c r="M12" s="119">
        <v>9</v>
      </c>
      <c r="N12" s="109">
        <v>46247</v>
      </c>
      <c r="O12" s="120" t="s">
        <v>97</v>
      </c>
      <c r="P12" s="121" t="s">
        <v>1904</v>
      </c>
      <c r="Q12" s="115">
        <v>5000</v>
      </c>
      <c r="Y12" s="34">
        <v>251</v>
      </c>
      <c r="Z12" s="40">
        <v>45707</v>
      </c>
      <c r="AA12" s="41">
        <v>7000000</v>
      </c>
      <c r="AC12" s="106" t="s">
        <v>1728</v>
      </c>
    </row>
    <row r="13" spans="1:37" ht="15.75" customHeight="1" x14ac:dyDescent="0.25">
      <c r="M13" s="119">
        <v>10</v>
      </c>
      <c r="N13" s="109">
        <v>46247</v>
      </c>
      <c r="O13" s="120" t="s">
        <v>97</v>
      </c>
      <c r="P13" s="121" t="s">
        <v>1905</v>
      </c>
      <c r="Q13" s="115">
        <v>38000</v>
      </c>
      <c r="AC13" s="106" t="s">
        <v>709</v>
      </c>
    </row>
    <row r="14" spans="1:37" ht="15.75" customHeight="1" x14ac:dyDescent="0.25">
      <c r="M14" s="119">
        <v>11</v>
      </c>
      <c r="N14" s="109">
        <v>46247</v>
      </c>
      <c r="O14" s="120" t="s">
        <v>97</v>
      </c>
      <c r="P14" s="121" t="s">
        <v>1906</v>
      </c>
      <c r="Q14" s="115">
        <v>39000</v>
      </c>
      <c r="Y14" s="34">
        <v>379</v>
      </c>
      <c r="Z14" s="40">
        <v>45845</v>
      </c>
      <c r="AA14" s="41">
        <v>7000000</v>
      </c>
      <c r="AC14" s="106" t="s">
        <v>710</v>
      </c>
    </row>
    <row r="15" spans="1:37" ht="15.75" customHeight="1" x14ac:dyDescent="0.25">
      <c r="M15" s="119">
        <v>12</v>
      </c>
      <c r="N15" s="109">
        <v>46247</v>
      </c>
      <c r="O15" s="120" t="s">
        <v>97</v>
      </c>
      <c r="P15" s="121" t="s">
        <v>1907</v>
      </c>
      <c r="Q15" s="115">
        <v>16000</v>
      </c>
      <c r="AC15" s="157" t="s">
        <v>711</v>
      </c>
    </row>
    <row r="16" spans="1:37" ht="15" customHeight="1" x14ac:dyDescent="0.25">
      <c r="M16" s="119">
        <v>13</v>
      </c>
      <c r="N16" s="109">
        <v>46249</v>
      </c>
      <c r="O16" s="120" t="s">
        <v>97</v>
      </c>
      <c r="P16" s="121" t="s">
        <v>1827</v>
      </c>
      <c r="Q16" s="115">
        <v>1000</v>
      </c>
      <c r="Y16" s="34">
        <v>458</v>
      </c>
      <c r="Z16" s="40">
        <v>45979</v>
      </c>
      <c r="AA16" s="41">
        <v>6000000</v>
      </c>
    </row>
    <row r="17" spans="1:27" x14ac:dyDescent="0.25">
      <c r="M17" s="119">
        <v>14</v>
      </c>
      <c r="N17" s="109">
        <v>46249</v>
      </c>
      <c r="O17" s="120" t="s">
        <v>97</v>
      </c>
      <c r="P17" s="121" t="s">
        <v>1582</v>
      </c>
      <c r="Q17" s="115">
        <v>3000</v>
      </c>
    </row>
    <row r="18" spans="1:27" x14ac:dyDescent="0.25">
      <c r="M18" s="119">
        <v>15</v>
      </c>
      <c r="N18" s="109">
        <v>46250</v>
      </c>
      <c r="O18" s="120" t="s">
        <v>97</v>
      </c>
      <c r="P18" s="121" t="s">
        <v>1827</v>
      </c>
      <c r="Q18" s="115">
        <v>1000</v>
      </c>
      <c r="S18" s="284"/>
      <c r="T18" s="284"/>
    </row>
    <row r="19" spans="1:27" x14ac:dyDescent="0.25">
      <c r="A19" s="295" t="s">
        <v>1266</v>
      </c>
      <c r="B19" s="296"/>
      <c r="C19" s="296"/>
      <c r="D19" s="296"/>
      <c r="E19" s="296"/>
      <c r="F19" s="297"/>
      <c r="G19" s="292" t="s">
        <v>619</v>
      </c>
      <c r="H19" s="288"/>
      <c r="I19" s="293">
        <f>SUM(I22:I35)</f>
        <v>35032000</v>
      </c>
      <c r="M19" s="119">
        <v>16</v>
      </c>
      <c r="N19" s="109">
        <v>46250</v>
      </c>
      <c r="O19" s="120" t="s">
        <v>97</v>
      </c>
      <c r="P19" s="121" t="s">
        <v>1582</v>
      </c>
      <c r="Q19" s="115">
        <v>3000</v>
      </c>
      <c r="Z19" t="s">
        <v>1780</v>
      </c>
      <c r="AA19" s="142">
        <f>SUM(AA8:AA18)</f>
        <v>33000000</v>
      </c>
    </row>
    <row r="20" spans="1:27" ht="15.75" x14ac:dyDescent="0.25">
      <c r="A20" s="298"/>
      <c r="B20" s="299"/>
      <c r="C20" s="299"/>
      <c r="D20" s="299"/>
      <c r="E20" s="299"/>
      <c r="F20" s="300"/>
      <c r="G20" s="289"/>
      <c r="H20" s="291"/>
      <c r="I20" s="294"/>
      <c r="M20" s="119">
        <v>17</v>
      </c>
      <c r="N20" s="109">
        <v>46250</v>
      </c>
      <c r="O20" s="120" t="s">
        <v>97</v>
      </c>
      <c r="P20" s="121" t="s">
        <v>1906</v>
      </c>
      <c r="Q20" s="115">
        <v>67750</v>
      </c>
      <c r="S20" s="176"/>
      <c r="T20" s="177"/>
    </row>
    <row r="21" spans="1:27" ht="15.75" x14ac:dyDescent="0.25">
      <c r="A21" s="1" t="s">
        <v>0</v>
      </c>
      <c r="B21" s="89" t="s">
        <v>1</v>
      </c>
      <c r="C21" s="90" t="s">
        <v>2</v>
      </c>
      <c r="D21" s="90" t="s">
        <v>3</v>
      </c>
      <c r="E21" s="90" t="s">
        <v>4</v>
      </c>
      <c r="F21" s="91" t="s">
        <v>5</v>
      </c>
      <c r="G21" s="90" t="s">
        <v>615</v>
      </c>
      <c r="H21" s="2" t="s">
        <v>6</v>
      </c>
      <c r="I21" s="3" t="s">
        <v>565</v>
      </c>
      <c r="M21" s="119">
        <v>18</v>
      </c>
      <c r="N21" s="109">
        <v>46250</v>
      </c>
      <c r="O21" s="120" t="s">
        <v>97</v>
      </c>
      <c r="P21" s="121" t="s">
        <v>1494</v>
      </c>
      <c r="Q21" s="115">
        <v>32250</v>
      </c>
      <c r="S21" s="178"/>
      <c r="T21" s="179"/>
    </row>
    <row r="22" spans="1:27" ht="15.75" x14ac:dyDescent="0.25">
      <c r="A22" s="156">
        <v>1</v>
      </c>
      <c r="B22" s="5" t="s">
        <v>109</v>
      </c>
      <c r="C22" s="6">
        <v>46030</v>
      </c>
      <c r="D22" s="11" t="s">
        <v>23</v>
      </c>
      <c r="E22" s="8" t="s">
        <v>51</v>
      </c>
      <c r="F22" s="101" t="s">
        <v>106</v>
      </c>
      <c r="G22" s="100" t="s">
        <v>616</v>
      </c>
      <c r="H22" s="9"/>
      <c r="I22" s="10">
        <v>500000</v>
      </c>
      <c r="M22" s="119">
        <v>19</v>
      </c>
      <c r="N22" s="109">
        <v>46250</v>
      </c>
      <c r="O22" s="120" t="s">
        <v>97</v>
      </c>
      <c r="P22" s="121" t="s">
        <v>1908</v>
      </c>
      <c r="Q22" s="115">
        <v>16000</v>
      </c>
    </row>
    <row r="23" spans="1:27" ht="15" customHeight="1" x14ac:dyDescent="0.25">
      <c r="A23" s="156">
        <v>2</v>
      </c>
      <c r="B23" s="5" t="s">
        <v>166</v>
      </c>
      <c r="C23" s="6">
        <v>46040</v>
      </c>
      <c r="D23" s="11" t="s">
        <v>23</v>
      </c>
      <c r="E23" s="8" t="s">
        <v>167</v>
      </c>
      <c r="F23" s="101" t="s">
        <v>168</v>
      </c>
      <c r="G23" s="100" t="s">
        <v>616</v>
      </c>
      <c r="H23" s="9"/>
      <c r="I23" s="10">
        <v>5000000</v>
      </c>
      <c r="M23" s="119">
        <v>20</v>
      </c>
      <c r="N23" s="109">
        <v>46250</v>
      </c>
      <c r="O23" s="120" t="s">
        <v>97</v>
      </c>
      <c r="P23" s="121" t="s">
        <v>1909</v>
      </c>
      <c r="Q23" s="115">
        <v>5000</v>
      </c>
    </row>
    <row r="24" spans="1:27" ht="15" customHeight="1" x14ac:dyDescent="0.25">
      <c r="A24" s="156">
        <v>3</v>
      </c>
      <c r="B24" s="5" t="s">
        <v>187</v>
      </c>
      <c r="C24" s="6">
        <v>46040</v>
      </c>
      <c r="D24" s="11" t="s">
        <v>23</v>
      </c>
      <c r="E24" s="8" t="s">
        <v>167</v>
      </c>
      <c r="F24" s="101" t="s">
        <v>168</v>
      </c>
      <c r="G24" s="100" t="s">
        <v>616</v>
      </c>
      <c r="H24" s="9"/>
      <c r="I24" s="10">
        <v>325000</v>
      </c>
      <c r="M24" s="119">
        <v>21</v>
      </c>
      <c r="N24" s="109">
        <v>46250</v>
      </c>
      <c r="O24" s="120" t="s">
        <v>97</v>
      </c>
      <c r="P24" s="121" t="s">
        <v>1910</v>
      </c>
      <c r="Q24" s="115">
        <v>11000</v>
      </c>
    </row>
    <row r="25" spans="1:27" ht="15.75" customHeight="1" x14ac:dyDescent="0.25">
      <c r="A25" s="156">
        <v>4</v>
      </c>
      <c r="B25" s="5" t="s">
        <v>589</v>
      </c>
      <c r="C25" s="6">
        <v>46049</v>
      </c>
      <c r="D25" s="11" t="s">
        <v>23</v>
      </c>
      <c r="E25" s="16" t="s">
        <v>167</v>
      </c>
      <c r="F25" s="13" t="s">
        <v>584</v>
      </c>
      <c r="G25" s="100" t="s">
        <v>616</v>
      </c>
      <c r="H25" s="9"/>
      <c r="I25" s="10">
        <v>1857000</v>
      </c>
      <c r="M25" s="119">
        <v>22</v>
      </c>
      <c r="N25" s="109">
        <v>46257</v>
      </c>
      <c r="O25" s="120" t="s">
        <v>97</v>
      </c>
      <c r="P25" s="121"/>
      <c r="Q25" s="115"/>
    </row>
    <row r="26" spans="1:27" ht="15.75" x14ac:dyDescent="0.25">
      <c r="A26" s="156">
        <v>5</v>
      </c>
      <c r="B26" s="5" t="s">
        <v>678</v>
      </c>
      <c r="C26" s="6">
        <v>46056</v>
      </c>
      <c r="D26" s="11" t="s">
        <v>23</v>
      </c>
      <c r="E26" s="16" t="s">
        <v>51</v>
      </c>
      <c r="F26" s="13" t="s">
        <v>679</v>
      </c>
      <c r="G26" s="147">
        <v>2</v>
      </c>
      <c r="H26" s="9"/>
      <c r="I26" s="10">
        <v>19250000</v>
      </c>
      <c r="M26" s="119">
        <v>23</v>
      </c>
      <c r="N26" s="109">
        <v>46233</v>
      </c>
      <c r="O26" s="120" t="s">
        <v>97</v>
      </c>
      <c r="P26" s="121"/>
      <c r="Q26" s="115"/>
      <c r="T26" s="141"/>
    </row>
    <row r="27" spans="1:27" ht="15.75" x14ac:dyDescent="0.25">
      <c r="A27" s="156">
        <v>6</v>
      </c>
      <c r="B27" s="5" t="s">
        <v>727</v>
      </c>
      <c r="C27" s="6">
        <v>46063</v>
      </c>
      <c r="D27" s="11" t="s">
        <v>23</v>
      </c>
      <c r="E27" s="16" t="s">
        <v>728</v>
      </c>
      <c r="F27" s="13" t="s">
        <v>729</v>
      </c>
      <c r="G27" s="147">
        <v>2</v>
      </c>
      <c r="H27" s="9"/>
      <c r="I27" s="10">
        <v>600000</v>
      </c>
      <c r="M27" s="119">
        <v>24</v>
      </c>
      <c r="N27" s="109">
        <v>46233</v>
      </c>
      <c r="O27" s="120" t="s">
        <v>97</v>
      </c>
      <c r="P27" s="121"/>
      <c r="Q27" s="115"/>
      <c r="T27" s="141"/>
      <c r="U27" s="174"/>
    </row>
    <row r="28" spans="1:27" ht="15.75" customHeight="1" x14ac:dyDescent="0.25">
      <c r="A28" s="156">
        <v>7</v>
      </c>
      <c r="B28" s="5" t="s">
        <v>812</v>
      </c>
      <c r="C28" s="6">
        <v>46071</v>
      </c>
      <c r="D28" s="11" t="s">
        <v>23</v>
      </c>
      <c r="E28" s="16" t="s">
        <v>728</v>
      </c>
      <c r="F28" s="13" t="s">
        <v>679</v>
      </c>
      <c r="G28" s="147">
        <v>2</v>
      </c>
      <c r="H28" s="9"/>
      <c r="I28" s="10">
        <v>2500000</v>
      </c>
      <c r="M28" s="119">
        <v>25</v>
      </c>
      <c r="N28" s="109">
        <v>46239</v>
      </c>
      <c r="O28" s="120" t="s">
        <v>97</v>
      </c>
      <c r="P28" s="121"/>
      <c r="Q28" s="115"/>
      <c r="U28" s="175"/>
    </row>
    <row r="29" spans="1:27" ht="15.75" customHeight="1" x14ac:dyDescent="0.25">
      <c r="A29" s="156">
        <v>8</v>
      </c>
      <c r="B29" s="5" t="s">
        <v>992</v>
      </c>
      <c r="C29" s="6">
        <v>46097</v>
      </c>
      <c r="D29" s="11" t="s">
        <v>23</v>
      </c>
      <c r="E29" s="16" t="s">
        <v>989</v>
      </c>
      <c r="F29" s="16" t="s">
        <v>993</v>
      </c>
      <c r="G29" s="147">
        <v>3</v>
      </c>
      <c r="H29" s="9"/>
      <c r="I29" s="10">
        <v>500000</v>
      </c>
      <c r="M29" s="119">
        <v>26</v>
      </c>
      <c r="N29" s="109">
        <v>46239</v>
      </c>
      <c r="O29" s="120" t="s">
        <v>97</v>
      </c>
      <c r="P29" s="121"/>
      <c r="Q29" s="115"/>
      <c r="U29" s="19"/>
    </row>
    <row r="30" spans="1:27" x14ac:dyDescent="0.25">
      <c r="A30" s="156">
        <v>9</v>
      </c>
      <c r="B30" s="5" t="s">
        <v>1091</v>
      </c>
      <c r="C30" s="6">
        <v>46123</v>
      </c>
      <c r="D30" s="11" t="s">
        <v>23</v>
      </c>
      <c r="E30" s="16" t="s">
        <v>989</v>
      </c>
      <c r="F30" s="16" t="s">
        <v>1092</v>
      </c>
      <c r="G30" s="147">
        <v>4</v>
      </c>
      <c r="H30" s="9"/>
      <c r="I30" s="10">
        <v>500000</v>
      </c>
      <c r="L30" s="19"/>
      <c r="M30" s="119">
        <v>27</v>
      </c>
      <c r="N30" s="109">
        <v>46239</v>
      </c>
      <c r="O30" s="120" t="s">
        <v>97</v>
      </c>
      <c r="P30" s="121"/>
      <c r="Q30" s="115"/>
    </row>
    <row r="31" spans="1:27" x14ac:dyDescent="0.25">
      <c r="A31" s="156">
        <v>10</v>
      </c>
      <c r="B31" s="5" t="s">
        <v>1104</v>
      </c>
      <c r="C31" s="6">
        <v>46124</v>
      </c>
      <c r="D31" s="11" t="s">
        <v>23</v>
      </c>
      <c r="E31" s="16" t="s">
        <v>1105</v>
      </c>
      <c r="F31" s="16" t="s">
        <v>1106</v>
      </c>
      <c r="G31" s="147">
        <v>4</v>
      </c>
      <c r="H31" s="9"/>
      <c r="I31" s="10">
        <v>1500000</v>
      </c>
      <c r="L31" s="19"/>
      <c r="M31" s="119">
        <v>28</v>
      </c>
      <c r="N31" s="109">
        <v>46242</v>
      </c>
      <c r="O31" s="120" t="s">
        <v>97</v>
      </c>
      <c r="P31" s="121"/>
      <c r="Q31" s="115"/>
    </row>
    <row r="32" spans="1:27" x14ac:dyDescent="0.25">
      <c r="A32" s="156">
        <v>11</v>
      </c>
      <c r="B32" s="5" t="s">
        <v>1124</v>
      </c>
      <c r="C32" s="6">
        <v>46128</v>
      </c>
      <c r="D32" s="11" t="s">
        <v>23</v>
      </c>
      <c r="E32" s="16" t="s">
        <v>1105</v>
      </c>
      <c r="F32" s="16" t="s">
        <v>1106</v>
      </c>
      <c r="G32" s="147">
        <v>4</v>
      </c>
      <c r="H32" s="9"/>
      <c r="I32" s="10">
        <v>1000000</v>
      </c>
      <c r="K32" s="19"/>
      <c r="L32" s="19"/>
      <c r="M32" s="119">
        <v>29</v>
      </c>
      <c r="N32" s="109">
        <v>46242</v>
      </c>
      <c r="O32" s="120" t="s">
        <v>97</v>
      </c>
      <c r="P32" s="121"/>
      <c r="Q32" s="115"/>
    </row>
    <row r="33" spans="1:17" x14ac:dyDescent="0.25">
      <c r="A33" s="156">
        <v>12</v>
      </c>
      <c r="B33" s="5" t="s">
        <v>1150</v>
      </c>
      <c r="C33" s="6">
        <v>46130</v>
      </c>
      <c r="D33" s="11" t="s">
        <v>23</v>
      </c>
      <c r="E33" s="16" t="s">
        <v>1155</v>
      </c>
      <c r="F33" s="16" t="s">
        <v>1157</v>
      </c>
      <c r="G33" s="147">
        <v>4</v>
      </c>
      <c r="H33" s="9"/>
      <c r="I33" s="10">
        <v>500000</v>
      </c>
      <c r="K33" s="19"/>
      <c r="L33" s="19"/>
      <c r="M33" s="119">
        <v>30</v>
      </c>
      <c r="N33" s="109">
        <v>46242</v>
      </c>
      <c r="O33" s="120" t="s">
        <v>97</v>
      </c>
      <c r="P33" s="121"/>
      <c r="Q33" s="115"/>
    </row>
    <row r="34" spans="1:17" x14ac:dyDescent="0.25">
      <c r="A34" s="156">
        <v>13</v>
      </c>
      <c r="B34" s="5" t="s">
        <v>1154</v>
      </c>
      <c r="C34" s="6">
        <v>46130</v>
      </c>
      <c r="D34" s="11" t="s">
        <v>23</v>
      </c>
      <c r="E34" s="16" t="s">
        <v>1156</v>
      </c>
      <c r="F34" s="16" t="s">
        <v>1157</v>
      </c>
      <c r="G34" s="147">
        <v>4</v>
      </c>
      <c r="H34" s="9"/>
      <c r="I34" s="10">
        <v>500000</v>
      </c>
      <c r="M34" s="119">
        <v>31</v>
      </c>
      <c r="N34" s="109">
        <v>46242</v>
      </c>
      <c r="O34" s="120" t="s">
        <v>97</v>
      </c>
      <c r="P34" s="121"/>
      <c r="Q34" s="115"/>
    </row>
    <row r="35" spans="1:17" x14ac:dyDescent="0.25">
      <c r="A35" s="156">
        <v>14</v>
      </c>
      <c r="B35" s="5" t="s">
        <v>1181</v>
      </c>
      <c r="C35" s="6">
        <v>46131</v>
      </c>
      <c r="D35" s="11" t="s">
        <v>23</v>
      </c>
      <c r="E35" s="16" t="s">
        <v>167</v>
      </c>
      <c r="F35" s="16" t="s">
        <v>1183</v>
      </c>
      <c r="G35" s="147">
        <v>4</v>
      </c>
      <c r="H35" s="9"/>
      <c r="I35" s="10">
        <v>500000</v>
      </c>
      <c r="M35" s="119">
        <v>32</v>
      </c>
      <c r="N35" s="109">
        <v>46242</v>
      </c>
      <c r="O35" s="120" t="s">
        <v>97</v>
      </c>
      <c r="P35" s="121"/>
      <c r="Q35" s="115"/>
    </row>
    <row r="36" spans="1:17" x14ac:dyDescent="0.25">
      <c r="M36" s="119">
        <v>33</v>
      </c>
      <c r="N36" s="109">
        <v>46242</v>
      </c>
      <c r="O36" s="120" t="s">
        <v>97</v>
      </c>
      <c r="P36" s="121"/>
      <c r="Q36" s="115"/>
    </row>
    <row r="37" spans="1:17" x14ac:dyDescent="0.25">
      <c r="M37" s="119">
        <v>34</v>
      </c>
      <c r="N37" s="109">
        <v>46242</v>
      </c>
      <c r="O37" s="120" t="s">
        <v>97</v>
      </c>
      <c r="P37" s="121"/>
      <c r="Q37" s="115"/>
    </row>
    <row r="38" spans="1:17" x14ac:dyDescent="0.25">
      <c r="A38" s="286" t="s">
        <v>176</v>
      </c>
      <c r="B38" s="287"/>
      <c r="C38" s="287"/>
      <c r="D38" s="287"/>
      <c r="E38" s="287"/>
      <c r="F38" s="288"/>
      <c r="G38" s="292" t="s">
        <v>619</v>
      </c>
      <c r="H38" s="288"/>
      <c r="I38" s="293">
        <f>SUM(I41:I43)</f>
        <v>4280000</v>
      </c>
      <c r="M38" s="119">
        <v>35</v>
      </c>
      <c r="N38" s="109">
        <v>46242</v>
      </c>
      <c r="O38" s="120" t="s">
        <v>97</v>
      </c>
      <c r="P38" s="121"/>
      <c r="Q38" s="115"/>
    </row>
    <row r="39" spans="1:17" x14ac:dyDescent="0.25">
      <c r="A39" s="289"/>
      <c r="B39" s="290"/>
      <c r="C39" s="290"/>
      <c r="D39" s="290"/>
      <c r="E39" s="290"/>
      <c r="F39" s="291"/>
      <c r="G39" s="289"/>
      <c r="H39" s="291"/>
      <c r="I39" s="294"/>
      <c r="M39" s="119">
        <v>36</v>
      </c>
      <c r="N39" s="109">
        <v>46242</v>
      </c>
      <c r="O39" s="120" t="s">
        <v>97</v>
      </c>
      <c r="P39" s="121"/>
      <c r="Q39" s="115"/>
    </row>
    <row r="40" spans="1:17" ht="15.75" x14ac:dyDescent="0.25">
      <c r="A40" s="1" t="s">
        <v>0</v>
      </c>
      <c r="B40" s="89" t="s">
        <v>1</v>
      </c>
      <c r="C40" s="90" t="s">
        <v>2</v>
      </c>
      <c r="D40" s="90" t="s">
        <v>3</v>
      </c>
      <c r="E40" s="90" t="s">
        <v>4</v>
      </c>
      <c r="F40" s="91" t="s">
        <v>5</v>
      </c>
      <c r="G40" s="90" t="s">
        <v>615</v>
      </c>
      <c r="H40" s="2" t="s">
        <v>6</v>
      </c>
      <c r="I40" s="3" t="s">
        <v>7</v>
      </c>
      <c r="M40" s="119">
        <v>37</v>
      </c>
      <c r="N40" s="109">
        <v>46243</v>
      </c>
      <c r="O40" s="120" t="s">
        <v>97</v>
      </c>
      <c r="P40" s="121"/>
      <c r="Q40" s="115"/>
    </row>
    <row r="41" spans="1:17" ht="15.75" x14ac:dyDescent="0.25">
      <c r="A41" s="156">
        <v>1</v>
      </c>
      <c r="B41" s="5" t="s">
        <v>175</v>
      </c>
      <c r="C41" s="6">
        <v>46040</v>
      </c>
      <c r="D41" s="11" t="s">
        <v>9</v>
      </c>
      <c r="E41" s="8" t="s">
        <v>176</v>
      </c>
      <c r="F41" s="101" t="s">
        <v>177</v>
      </c>
      <c r="G41" s="100" t="s">
        <v>616</v>
      </c>
      <c r="H41" s="9"/>
      <c r="I41" s="10">
        <v>2500000</v>
      </c>
      <c r="M41" s="119">
        <v>38</v>
      </c>
      <c r="N41" s="109">
        <v>46243</v>
      </c>
      <c r="O41" s="120" t="s">
        <v>97</v>
      </c>
      <c r="P41" s="121"/>
      <c r="Q41" s="115"/>
    </row>
    <row r="42" spans="1:17" ht="15.75" x14ac:dyDescent="0.25">
      <c r="A42" s="156">
        <v>2</v>
      </c>
      <c r="B42" s="5" t="s">
        <v>928</v>
      </c>
      <c r="C42" s="6">
        <v>46081</v>
      </c>
      <c r="D42" s="11" t="s">
        <v>9</v>
      </c>
      <c r="E42" s="16" t="s">
        <v>927</v>
      </c>
      <c r="F42" s="13" t="s">
        <v>929</v>
      </c>
      <c r="G42" s="147">
        <v>2</v>
      </c>
      <c r="H42" s="9"/>
      <c r="I42" s="10">
        <v>780000</v>
      </c>
      <c r="K42" s="142"/>
      <c r="M42" s="119">
        <v>39</v>
      </c>
      <c r="N42" s="109">
        <v>46243</v>
      </c>
      <c r="O42" s="120" t="s">
        <v>97</v>
      </c>
      <c r="P42" s="121"/>
      <c r="Q42" s="115"/>
    </row>
    <row r="43" spans="1:17" x14ac:dyDescent="0.25">
      <c r="A43" s="156">
        <v>3</v>
      </c>
      <c r="B43" s="5" t="s">
        <v>1415</v>
      </c>
      <c r="C43" s="6">
        <v>46153</v>
      </c>
      <c r="D43" s="11" t="s">
        <v>9</v>
      </c>
      <c r="E43" s="16" t="s">
        <v>176</v>
      </c>
      <c r="F43" s="16" t="s">
        <v>1416</v>
      </c>
      <c r="G43" s="147">
        <v>5</v>
      </c>
      <c r="H43" s="9"/>
      <c r="I43" s="10">
        <v>1000000</v>
      </c>
      <c r="K43" s="142"/>
      <c r="M43" s="119">
        <v>40</v>
      </c>
      <c r="N43" s="109">
        <v>46243</v>
      </c>
      <c r="O43" s="120" t="s">
        <v>97</v>
      </c>
      <c r="P43" s="121"/>
      <c r="Q43" s="115"/>
    </row>
    <row r="44" spans="1:17" ht="15.75" x14ac:dyDescent="0.25">
      <c r="A44" s="156">
        <v>4</v>
      </c>
      <c r="B44" s="163" t="s">
        <v>652</v>
      </c>
      <c r="C44" s="6">
        <v>46055</v>
      </c>
      <c r="D44" s="11" t="s">
        <v>9</v>
      </c>
      <c r="E44" s="16" t="s">
        <v>17</v>
      </c>
      <c r="F44" s="13" t="s">
        <v>655</v>
      </c>
      <c r="G44" s="147">
        <v>2</v>
      </c>
      <c r="H44" s="9" t="s">
        <v>17</v>
      </c>
      <c r="I44" s="10">
        <v>1000000</v>
      </c>
      <c r="K44" s="142" t="s">
        <v>1123</v>
      </c>
      <c r="M44" s="119">
        <v>41</v>
      </c>
      <c r="N44" s="109">
        <v>46243</v>
      </c>
      <c r="O44" s="120" t="s">
        <v>97</v>
      </c>
      <c r="P44" s="121"/>
      <c r="Q44" s="115"/>
    </row>
    <row r="45" spans="1:17" x14ac:dyDescent="0.25">
      <c r="A45" s="156">
        <v>5</v>
      </c>
      <c r="B45" s="163" t="s">
        <v>1018</v>
      </c>
      <c r="C45" s="6">
        <v>46111</v>
      </c>
      <c r="D45" s="11" t="s">
        <v>9</v>
      </c>
      <c r="E45" s="16" t="s">
        <v>1020</v>
      </c>
      <c r="F45" s="16" t="s">
        <v>1021</v>
      </c>
      <c r="G45" s="147">
        <v>3</v>
      </c>
      <c r="H45" s="9" t="s">
        <v>17</v>
      </c>
      <c r="I45" s="10">
        <v>1775000</v>
      </c>
      <c r="K45" s="142"/>
      <c r="M45" s="119">
        <v>42</v>
      </c>
      <c r="N45" s="109">
        <v>46243</v>
      </c>
      <c r="O45" s="120" t="s">
        <v>97</v>
      </c>
      <c r="P45" s="121"/>
      <c r="Q45" s="115"/>
    </row>
    <row r="46" spans="1:17" x14ac:dyDescent="0.25">
      <c r="M46" s="119">
        <v>43</v>
      </c>
      <c r="N46" s="109">
        <v>46244</v>
      </c>
      <c r="O46" s="120" t="s">
        <v>97</v>
      </c>
      <c r="P46" s="121"/>
      <c r="Q46" s="115"/>
    </row>
    <row r="47" spans="1:17" x14ac:dyDescent="0.25">
      <c r="M47" s="119">
        <v>44</v>
      </c>
      <c r="N47" s="109">
        <v>46244</v>
      </c>
      <c r="O47" s="120" t="s">
        <v>97</v>
      </c>
      <c r="P47" s="121"/>
      <c r="Q47" s="115"/>
    </row>
    <row r="48" spans="1:17" x14ac:dyDescent="0.25">
      <c r="A48" s="286" t="s">
        <v>17</v>
      </c>
      <c r="B48" s="287"/>
      <c r="C48" s="287"/>
      <c r="D48" s="287"/>
      <c r="E48" s="287"/>
      <c r="F48" s="288"/>
      <c r="G48" s="292" t="s">
        <v>619</v>
      </c>
      <c r="H48" s="288"/>
      <c r="I48" s="293">
        <f>SUM(I51:I54)</f>
        <v>3650000</v>
      </c>
      <c r="M48" s="119">
        <v>45</v>
      </c>
      <c r="N48" s="109">
        <v>46244</v>
      </c>
      <c r="O48" s="120" t="s">
        <v>97</v>
      </c>
      <c r="P48" s="121"/>
      <c r="Q48" s="115"/>
    </row>
    <row r="49" spans="1:17" x14ac:dyDescent="0.25">
      <c r="A49" s="289"/>
      <c r="B49" s="290"/>
      <c r="C49" s="290"/>
      <c r="D49" s="290"/>
      <c r="E49" s="290"/>
      <c r="F49" s="291"/>
      <c r="G49" s="289"/>
      <c r="H49" s="291"/>
      <c r="I49" s="294"/>
      <c r="M49" s="119">
        <v>46</v>
      </c>
      <c r="N49" s="109">
        <v>46244</v>
      </c>
      <c r="O49" s="120" t="s">
        <v>97</v>
      </c>
      <c r="P49" s="121"/>
      <c r="Q49" s="115"/>
    </row>
    <row r="50" spans="1:17" ht="15.75" x14ac:dyDescent="0.25">
      <c r="A50" s="1" t="s">
        <v>0</v>
      </c>
      <c r="B50" s="89" t="s">
        <v>1</v>
      </c>
      <c r="C50" s="90" t="s">
        <v>2</v>
      </c>
      <c r="D50" s="90" t="s">
        <v>3</v>
      </c>
      <c r="E50" s="90" t="s">
        <v>4</v>
      </c>
      <c r="F50" s="91" t="s">
        <v>5</v>
      </c>
      <c r="G50" s="90" t="s">
        <v>615</v>
      </c>
      <c r="H50" s="2" t="s">
        <v>6</v>
      </c>
      <c r="I50" s="3" t="s">
        <v>7</v>
      </c>
      <c r="M50" s="119">
        <v>47</v>
      </c>
      <c r="N50" s="109">
        <v>46244</v>
      </c>
      <c r="O50" s="120" t="s">
        <v>97</v>
      </c>
      <c r="P50" s="121"/>
      <c r="Q50" s="115"/>
    </row>
    <row r="51" spans="1:17" x14ac:dyDescent="0.25">
      <c r="A51" s="156">
        <v>1</v>
      </c>
      <c r="B51" s="5" t="s">
        <v>1610</v>
      </c>
      <c r="C51" s="6">
        <v>46180</v>
      </c>
      <c r="D51" s="11" t="s">
        <v>9</v>
      </c>
      <c r="E51" s="16" t="s">
        <v>17</v>
      </c>
      <c r="F51" s="16" t="s">
        <v>569</v>
      </c>
      <c r="G51" s="147">
        <v>6</v>
      </c>
      <c r="H51" s="9"/>
      <c r="I51" s="10">
        <v>1500000</v>
      </c>
      <c r="M51" s="119">
        <v>48</v>
      </c>
      <c r="N51" s="109">
        <v>46244</v>
      </c>
      <c r="O51" s="120" t="s">
        <v>97</v>
      </c>
      <c r="P51" s="121"/>
      <c r="Q51" s="115"/>
    </row>
    <row r="52" spans="1:17" x14ac:dyDescent="0.25">
      <c r="A52" s="156">
        <v>2</v>
      </c>
      <c r="B52" s="5" t="s">
        <v>1616</v>
      </c>
      <c r="C52" s="6">
        <v>46181</v>
      </c>
      <c r="D52" s="11" t="s">
        <v>21</v>
      </c>
      <c r="E52" s="16" t="s">
        <v>17</v>
      </c>
      <c r="F52" s="16" t="s">
        <v>1617</v>
      </c>
      <c r="G52" s="147">
        <v>6</v>
      </c>
      <c r="H52" s="9"/>
      <c r="I52" s="10">
        <v>900000</v>
      </c>
      <c r="M52" s="119">
        <v>49</v>
      </c>
      <c r="N52" s="109">
        <v>46244</v>
      </c>
      <c r="O52" s="120" t="s">
        <v>97</v>
      </c>
      <c r="P52" s="121"/>
      <c r="Q52" s="115"/>
    </row>
    <row r="53" spans="1:17" x14ac:dyDescent="0.25">
      <c r="A53" s="156">
        <v>3</v>
      </c>
      <c r="B53" s="5" t="s">
        <v>1739</v>
      </c>
      <c r="C53" s="6">
        <v>46209</v>
      </c>
      <c r="D53" s="11" t="s">
        <v>9</v>
      </c>
      <c r="E53" s="16" t="s">
        <v>17</v>
      </c>
      <c r="F53" s="16" t="s">
        <v>569</v>
      </c>
      <c r="G53" s="147">
        <v>7</v>
      </c>
      <c r="H53" s="9"/>
      <c r="I53" s="10">
        <v>1250000</v>
      </c>
      <c r="M53" s="119">
        <v>50</v>
      </c>
      <c r="N53" s="109">
        <v>46244</v>
      </c>
      <c r="O53" s="120" t="s">
        <v>97</v>
      </c>
      <c r="P53" s="121"/>
      <c r="Q53" s="115"/>
    </row>
    <row r="54" spans="1:17" ht="15.75" x14ac:dyDescent="0.25">
      <c r="A54" s="156"/>
      <c r="B54" s="163"/>
      <c r="C54" s="6"/>
      <c r="D54" s="11"/>
      <c r="E54" s="16"/>
      <c r="F54" s="13"/>
      <c r="G54" s="147"/>
      <c r="H54" s="9"/>
      <c r="I54" s="10"/>
      <c r="M54" s="119">
        <v>51</v>
      </c>
      <c r="N54" s="109"/>
      <c r="O54" s="123"/>
      <c r="P54" s="119"/>
      <c r="Q54" s="154"/>
    </row>
    <row r="55" spans="1:17" x14ac:dyDescent="0.25">
      <c r="M55" s="119">
        <v>52</v>
      </c>
      <c r="N55" s="109"/>
      <c r="O55" s="123"/>
      <c r="P55" s="119"/>
      <c r="Q55" s="154"/>
    </row>
    <row r="56" spans="1:17" x14ac:dyDescent="0.25">
      <c r="A56" s="286" t="s">
        <v>17</v>
      </c>
      <c r="B56" s="287"/>
      <c r="C56" s="287"/>
      <c r="D56" s="287"/>
      <c r="E56" s="287"/>
      <c r="F56" s="288"/>
      <c r="G56" s="292" t="s">
        <v>619</v>
      </c>
      <c r="H56" s="288"/>
      <c r="I56" s="293">
        <f>SUM(I59:I84)</f>
        <v>21820000</v>
      </c>
      <c r="M56" s="119">
        <v>53</v>
      </c>
      <c r="N56" s="109"/>
      <c r="O56" s="123"/>
      <c r="P56" s="119"/>
      <c r="Q56" s="154"/>
    </row>
    <row r="57" spans="1:17" x14ac:dyDescent="0.25">
      <c r="A57" s="289"/>
      <c r="B57" s="290"/>
      <c r="C57" s="290"/>
      <c r="D57" s="290"/>
      <c r="E57" s="290"/>
      <c r="F57" s="291"/>
      <c r="G57" s="289"/>
      <c r="H57" s="291"/>
      <c r="I57" s="294"/>
      <c r="M57" s="119">
        <v>54</v>
      </c>
      <c r="N57" s="109"/>
      <c r="O57" s="123"/>
      <c r="P57" s="119"/>
      <c r="Q57" s="154"/>
    </row>
    <row r="58" spans="1:17" ht="15.75" x14ac:dyDescent="0.25">
      <c r="A58" s="1" t="s">
        <v>0</v>
      </c>
      <c r="B58" s="89" t="s">
        <v>1</v>
      </c>
      <c r="C58" s="90" t="s">
        <v>2</v>
      </c>
      <c r="D58" s="90" t="s">
        <v>3</v>
      </c>
      <c r="E58" s="90" t="s">
        <v>4</v>
      </c>
      <c r="F58" s="91" t="s">
        <v>5</v>
      </c>
      <c r="G58" s="90" t="s">
        <v>615</v>
      </c>
      <c r="H58" s="2" t="s">
        <v>6</v>
      </c>
      <c r="I58" s="3" t="s">
        <v>7</v>
      </c>
      <c r="M58" s="119">
        <v>55</v>
      </c>
      <c r="N58" s="109"/>
      <c r="O58" s="123"/>
      <c r="P58" s="119"/>
      <c r="Q58" s="154"/>
    </row>
    <row r="59" spans="1:17" ht="15.75" x14ac:dyDescent="0.25">
      <c r="A59" s="156">
        <v>1</v>
      </c>
      <c r="B59" s="5" t="s">
        <v>149</v>
      </c>
      <c r="C59" s="6">
        <v>46035</v>
      </c>
      <c r="D59" s="11" t="s">
        <v>9</v>
      </c>
      <c r="E59" s="8" t="s">
        <v>17</v>
      </c>
      <c r="F59" s="101" t="s">
        <v>150</v>
      </c>
      <c r="G59" s="100" t="s">
        <v>616</v>
      </c>
      <c r="H59" s="9"/>
      <c r="I59" s="10">
        <v>200000</v>
      </c>
      <c r="M59" s="119">
        <v>56</v>
      </c>
      <c r="N59" s="109"/>
      <c r="O59" s="123"/>
      <c r="P59" s="119"/>
      <c r="Q59" s="154"/>
    </row>
    <row r="60" spans="1:17" ht="15.75" x14ac:dyDescent="0.25">
      <c r="A60" s="156">
        <v>2</v>
      </c>
      <c r="B60" s="5" t="s">
        <v>211</v>
      </c>
      <c r="C60" s="6">
        <v>46043</v>
      </c>
      <c r="D60" s="11" t="s">
        <v>9</v>
      </c>
      <c r="E60" s="16" t="s">
        <v>17</v>
      </c>
      <c r="F60" s="13" t="s">
        <v>212</v>
      </c>
      <c r="G60" s="100" t="s">
        <v>616</v>
      </c>
      <c r="H60" s="9"/>
      <c r="I60" s="10">
        <v>5000000</v>
      </c>
      <c r="M60" s="119">
        <v>57</v>
      </c>
      <c r="N60" s="109"/>
      <c r="O60" s="123"/>
      <c r="P60" s="119"/>
      <c r="Q60" s="154"/>
    </row>
    <row r="61" spans="1:17" ht="15.75" x14ac:dyDescent="0.25">
      <c r="A61" s="156">
        <v>3</v>
      </c>
      <c r="B61" s="5" t="s">
        <v>588</v>
      </c>
      <c r="C61" s="6">
        <v>46049</v>
      </c>
      <c r="D61" s="11" t="s">
        <v>9</v>
      </c>
      <c r="E61" s="16" t="s">
        <v>17</v>
      </c>
      <c r="F61" s="13" t="s">
        <v>583</v>
      </c>
      <c r="G61" s="100" t="s">
        <v>616</v>
      </c>
      <c r="H61" s="9"/>
      <c r="I61" s="10">
        <v>23000</v>
      </c>
      <c r="M61" s="119">
        <v>58</v>
      </c>
      <c r="N61" s="109"/>
      <c r="O61" s="123"/>
      <c r="P61" s="119"/>
      <c r="Q61" s="154"/>
    </row>
    <row r="62" spans="1:17" ht="15.75" x14ac:dyDescent="0.25">
      <c r="A62" s="156">
        <v>4</v>
      </c>
      <c r="B62" s="5" t="s">
        <v>593</v>
      </c>
      <c r="C62" s="6">
        <v>46050</v>
      </c>
      <c r="D62" s="11" t="s">
        <v>9</v>
      </c>
      <c r="E62" s="16" t="s">
        <v>17</v>
      </c>
      <c r="F62" s="13" t="s">
        <v>594</v>
      </c>
      <c r="G62" s="100" t="s">
        <v>616</v>
      </c>
      <c r="H62" s="9"/>
      <c r="I62" s="10">
        <v>345000</v>
      </c>
      <c r="M62" s="119">
        <v>59</v>
      </c>
      <c r="N62" s="109"/>
      <c r="O62" s="123"/>
      <c r="P62" s="119"/>
      <c r="Q62" s="154"/>
    </row>
    <row r="63" spans="1:17" ht="15.75" x14ac:dyDescent="0.25">
      <c r="A63" s="156">
        <v>5</v>
      </c>
      <c r="B63" s="5" t="s">
        <v>652</v>
      </c>
      <c r="C63" s="6">
        <v>46055</v>
      </c>
      <c r="D63" s="11" t="s">
        <v>9</v>
      </c>
      <c r="E63" s="16" t="s">
        <v>17</v>
      </c>
      <c r="F63" s="13" t="s">
        <v>655</v>
      </c>
      <c r="G63" s="147">
        <v>2</v>
      </c>
      <c r="H63" s="9"/>
      <c r="I63" s="10">
        <v>1000000</v>
      </c>
      <c r="M63" s="119">
        <v>60</v>
      </c>
      <c r="N63" s="109"/>
      <c r="O63" s="123"/>
      <c r="P63" s="119"/>
      <c r="Q63" s="154"/>
    </row>
    <row r="64" spans="1:17" ht="15.75" x14ac:dyDescent="0.25">
      <c r="A64" s="156">
        <v>6</v>
      </c>
      <c r="B64" s="5" t="s">
        <v>687</v>
      </c>
      <c r="C64" s="6">
        <v>46057</v>
      </c>
      <c r="D64" s="11" t="s">
        <v>9</v>
      </c>
      <c r="E64" s="16" t="s">
        <v>17</v>
      </c>
      <c r="F64" s="13" t="s">
        <v>693</v>
      </c>
      <c r="G64" s="147">
        <v>2</v>
      </c>
      <c r="H64" s="9"/>
      <c r="I64" s="10">
        <v>340000</v>
      </c>
      <c r="M64" s="119">
        <v>61</v>
      </c>
      <c r="N64" s="109"/>
      <c r="O64" s="123"/>
      <c r="P64" s="119"/>
      <c r="Q64" s="154"/>
    </row>
    <row r="65" spans="1:17" ht="15.75" x14ac:dyDescent="0.25">
      <c r="A65" s="156">
        <v>7</v>
      </c>
      <c r="B65" s="5" t="s">
        <v>734</v>
      </c>
      <c r="C65" s="6">
        <v>46064</v>
      </c>
      <c r="D65" s="11" t="s">
        <v>9</v>
      </c>
      <c r="E65" s="16" t="s">
        <v>17</v>
      </c>
      <c r="F65" s="13" t="s">
        <v>735</v>
      </c>
      <c r="G65" s="147">
        <v>2</v>
      </c>
      <c r="H65" s="9"/>
      <c r="I65" s="10">
        <v>308000</v>
      </c>
      <c r="M65" s="119">
        <v>62</v>
      </c>
      <c r="N65" s="109"/>
      <c r="O65" s="123"/>
      <c r="P65" s="119"/>
      <c r="Q65" s="154"/>
    </row>
    <row r="66" spans="1:17" ht="15.75" x14ac:dyDescent="0.25">
      <c r="A66" s="156">
        <v>8</v>
      </c>
      <c r="B66" s="5" t="s">
        <v>736</v>
      </c>
      <c r="C66" s="6">
        <v>46064</v>
      </c>
      <c r="D66" s="11" t="s">
        <v>9</v>
      </c>
      <c r="E66" s="16" t="s">
        <v>17</v>
      </c>
      <c r="F66" s="13" t="s">
        <v>740</v>
      </c>
      <c r="G66" s="147">
        <v>2</v>
      </c>
      <c r="H66" s="9"/>
      <c r="I66" s="10">
        <v>904000</v>
      </c>
      <c r="M66" s="119">
        <v>63</v>
      </c>
      <c r="N66" s="109"/>
      <c r="O66" s="123"/>
      <c r="P66" s="119"/>
      <c r="Q66" s="154"/>
    </row>
    <row r="67" spans="1:17" ht="15.75" x14ac:dyDescent="0.25">
      <c r="A67" s="156">
        <v>9</v>
      </c>
      <c r="B67" s="5" t="s">
        <v>778</v>
      </c>
      <c r="C67" s="6">
        <v>46068</v>
      </c>
      <c r="D67" s="11" t="s">
        <v>9</v>
      </c>
      <c r="E67" s="16" t="s">
        <v>17</v>
      </c>
      <c r="F67" s="13" t="s">
        <v>786</v>
      </c>
      <c r="G67" s="147">
        <v>2</v>
      </c>
      <c r="H67" s="9"/>
      <c r="I67" s="10">
        <v>450000</v>
      </c>
      <c r="M67" s="119">
        <v>64</v>
      </c>
      <c r="N67" s="109"/>
      <c r="O67" s="123"/>
      <c r="P67" s="119"/>
      <c r="Q67" s="154"/>
    </row>
    <row r="68" spans="1:17" ht="15.75" x14ac:dyDescent="0.25">
      <c r="A68" s="156">
        <v>10</v>
      </c>
      <c r="B68" s="5" t="s">
        <v>779</v>
      </c>
      <c r="C68" s="6">
        <v>46068</v>
      </c>
      <c r="D68" s="11" t="s">
        <v>9</v>
      </c>
      <c r="E68" s="16" t="s">
        <v>17</v>
      </c>
      <c r="F68" s="13" t="s">
        <v>777</v>
      </c>
      <c r="G68" s="147">
        <v>2</v>
      </c>
      <c r="H68" s="9"/>
      <c r="I68" s="10">
        <v>70000</v>
      </c>
      <c r="M68" s="119">
        <v>65</v>
      </c>
      <c r="N68" s="109"/>
      <c r="O68" s="123"/>
      <c r="P68" s="119"/>
      <c r="Q68" s="154"/>
    </row>
    <row r="69" spans="1:17" ht="15.75" x14ac:dyDescent="0.25">
      <c r="A69" s="156">
        <v>11</v>
      </c>
      <c r="B69" s="5" t="s">
        <v>850</v>
      </c>
      <c r="C69" s="6">
        <v>46074</v>
      </c>
      <c r="D69" s="11" t="s">
        <v>9</v>
      </c>
      <c r="E69" s="16" t="s">
        <v>17</v>
      </c>
      <c r="F69" s="13" t="s">
        <v>887</v>
      </c>
      <c r="G69" s="147">
        <v>2</v>
      </c>
      <c r="H69" s="9"/>
      <c r="I69" s="10">
        <v>150000</v>
      </c>
      <c r="M69" s="119">
        <v>66</v>
      </c>
      <c r="N69" s="109"/>
      <c r="O69" s="123"/>
      <c r="P69" s="119"/>
      <c r="Q69" s="154"/>
    </row>
    <row r="70" spans="1:17" ht="15" customHeight="1" x14ac:dyDescent="0.25">
      <c r="A70" s="156">
        <v>12</v>
      </c>
      <c r="B70" s="5" t="s">
        <v>867</v>
      </c>
      <c r="C70" s="6">
        <v>46075</v>
      </c>
      <c r="D70" s="11" t="s">
        <v>9</v>
      </c>
      <c r="E70" s="16" t="s">
        <v>17</v>
      </c>
      <c r="F70" s="13" t="s">
        <v>868</v>
      </c>
      <c r="G70" s="147">
        <v>2</v>
      </c>
      <c r="H70" s="9"/>
      <c r="I70" s="10">
        <v>2500000</v>
      </c>
      <c r="M70" s="119">
        <v>67</v>
      </c>
      <c r="N70" s="109"/>
      <c r="O70" s="123"/>
      <c r="P70" s="119"/>
      <c r="Q70" s="154"/>
    </row>
    <row r="71" spans="1:17" x14ac:dyDescent="0.25">
      <c r="A71" s="156">
        <v>13</v>
      </c>
      <c r="B71" s="5" t="s">
        <v>1063</v>
      </c>
      <c r="C71" s="6">
        <v>46117</v>
      </c>
      <c r="D71" s="11" t="s">
        <v>21</v>
      </c>
      <c r="E71" s="16" t="s">
        <v>17</v>
      </c>
      <c r="F71" s="16" t="s">
        <v>1064</v>
      </c>
      <c r="G71" s="147">
        <v>4</v>
      </c>
      <c r="H71" s="9"/>
      <c r="I71" s="10">
        <v>1800000</v>
      </c>
      <c r="M71" s="119">
        <v>68</v>
      </c>
      <c r="N71" s="119"/>
      <c r="O71" s="119"/>
      <c r="P71" s="119"/>
      <c r="Q71" s="154"/>
    </row>
    <row r="72" spans="1:17" x14ac:dyDescent="0.25">
      <c r="A72" s="156">
        <v>14</v>
      </c>
      <c r="B72" s="5" t="s">
        <v>1085</v>
      </c>
      <c r="C72" s="6">
        <v>46123</v>
      </c>
      <c r="D72" s="11" t="s">
        <v>9</v>
      </c>
      <c r="E72" s="16" t="s">
        <v>17</v>
      </c>
      <c r="F72" s="16" t="s">
        <v>868</v>
      </c>
      <c r="G72" s="147">
        <v>4</v>
      </c>
      <c r="H72" s="9"/>
      <c r="I72" s="10">
        <v>500000</v>
      </c>
      <c r="M72" s="119">
        <v>69</v>
      </c>
      <c r="N72" s="109"/>
      <c r="O72" s="123"/>
      <c r="P72" s="119"/>
      <c r="Q72" s="154"/>
    </row>
    <row r="73" spans="1:17" x14ac:dyDescent="0.25">
      <c r="A73" s="156">
        <v>15</v>
      </c>
      <c r="B73" s="5" t="s">
        <v>1086</v>
      </c>
      <c r="C73" s="6">
        <v>46123</v>
      </c>
      <c r="D73" s="11" t="s">
        <v>9</v>
      </c>
      <c r="E73" s="16" t="s">
        <v>17</v>
      </c>
      <c r="F73" s="16" t="s">
        <v>1187</v>
      </c>
      <c r="G73" s="147">
        <v>4</v>
      </c>
      <c r="H73" s="9"/>
      <c r="I73" s="10">
        <v>1000000</v>
      </c>
      <c r="M73" s="119">
        <v>70</v>
      </c>
      <c r="N73" s="109"/>
      <c r="O73" s="123"/>
      <c r="P73" s="119"/>
      <c r="Q73" s="154"/>
    </row>
    <row r="74" spans="1:17" x14ac:dyDescent="0.25">
      <c r="A74" s="156">
        <v>16</v>
      </c>
      <c r="B74" s="5" t="s">
        <v>1203</v>
      </c>
      <c r="C74" s="6">
        <v>46135</v>
      </c>
      <c r="D74" s="11" t="s">
        <v>9</v>
      </c>
      <c r="E74" s="16" t="s">
        <v>17</v>
      </c>
      <c r="F74" s="16" t="s">
        <v>1209</v>
      </c>
      <c r="G74" s="147">
        <v>4</v>
      </c>
      <c r="H74" s="9"/>
      <c r="I74" s="10">
        <v>75000</v>
      </c>
      <c r="M74" s="119">
        <v>71</v>
      </c>
      <c r="N74" s="109"/>
      <c r="O74" s="123"/>
      <c r="P74" s="119"/>
      <c r="Q74" s="154"/>
    </row>
    <row r="75" spans="1:17" x14ac:dyDescent="0.25">
      <c r="A75" s="156">
        <v>17</v>
      </c>
      <c r="B75" s="5" t="s">
        <v>1204</v>
      </c>
      <c r="C75" s="6">
        <v>46135</v>
      </c>
      <c r="D75" s="11" t="s">
        <v>9</v>
      </c>
      <c r="E75" s="16" t="s">
        <v>17</v>
      </c>
      <c r="F75" s="16" t="s">
        <v>1210</v>
      </c>
      <c r="G75" s="147">
        <v>4</v>
      </c>
      <c r="H75" s="9"/>
      <c r="I75" s="10">
        <v>75000</v>
      </c>
      <c r="M75" s="119">
        <v>72</v>
      </c>
      <c r="N75" s="109"/>
      <c r="O75" s="123"/>
      <c r="P75" s="119"/>
      <c r="Q75" s="154"/>
    </row>
    <row r="76" spans="1:17" x14ac:dyDescent="0.25">
      <c r="A76" s="156">
        <v>18</v>
      </c>
      <c r="B76" s="5" t="s">
        <v>1207</v>
      </c>
      <c r="C76" s="6">
        <v>46135</v>
      </c>
      <c r="D76" s="11" t="s">
        <v>9</v>
      </c>
      <c r="E76" s="16" t="s">
        <v>17</v>
      </c>
      <c r="F76" s="16" t="s">
        <v>1212</v>
      </c>
      <c r="G76" s="147">
        <v>4</v>
      </c>
      <c r="H76" s="9"/>
      <c r="I76" s="10">
        <v>100000</v>
      </c>
      <c r="M76" s="119">
        <v>73</v>
      </c>
      <c r="N76" s="109"/>
      <c r="O76" s="123"/>
      <c r="P76" s="119"/>
      <c r="Q76" s="154"/>
    </row>
    <row r="77" spans="1:17" x14ac:dyDescent="0.25">
      <c r="A77" s="156">
        <v>19</v>
      </c>
      <c r="B77" s="5" t="s">
        <v>1343</v>
      </c>
      <c r="C77" s="6">
        <v>46149</v>
      </c>
      <c r="D77" s="11" t="s">
        <v>9</v>
      </c>
      <c r="E77" s="16" t="s">
        <v>17</v>
      </c>
      <c r="F77" s="16" t="s">
        <v>1348</v>
      </c>
      <c r="G77" s="147">
        <v>5</v>
      </c>
      <c r="H77" s="9"/>
      <c r="I77" s="10">
        <v>250000</v>
      </c>
      <c r="M77" s="119">
        <v>74</v>
      </c>
      <c r="N77" s="109"/>
      <c r="O77" s="123"/>
      <c r="P77" s="119"/>
      <c r="Q77" s="154"/>
    </row>
    <row r="78" spans="1:17" x14ac:dyDescent="0.25">
      <c r="A78" s="156">
        <v>20</v>
      </c>
      <c r="B78" s="5" t="s">
        <v>1344</v>
      </c>
      <c r="C78" s="6">
        <v>46149</v>
      </c>
      <c r="D78" s="11" t="s">
        <v>9</v>
      </c>
      <c r="E78" s="16" t="s">
        <v>17</v>
      </c>
      <c r="F78" s="16" t="s">
        <v>1349</v>
      </c>
      <c r="G78" s="147">
        <v>5</v>
      </c>
      <c r="H78" s="9"/>
      <c r="I78" s="10">
        <v>500000</v>
      </c>
      <c r="M78" s="119">
        <v>75</v>
      </c>
      <c r="N78" s="109"/>
      <c r="O78" s="123"/>
      <c r="P78" s="119"/>
      <c r="Q78" s="154"/>
    </row>
    <row r="79" spans="1:17" x14ac:dyDescent="0.25">
      <c r="A79" s="156">
        <v>21</v>
      </c>
      <c r="B79" s="5" t="s">
        <v>1345</v>
      </c>
      <c r="C79" s="6">
        <v>46149</v>
      </c>
      <c r="D79" s="11" t="s">
        <v>9</v>
      </c>
      <c r="E79" s="16" t="s">
        <v>17</v>
      </c>
      <c r="F79" s="16" t="s">
        <v>1064</v>
      </c>
      <c r="G79" s="147">
        <v>5</v>
      </c>
      <c r="H79" s="9"/>
      <c r="I79" s="10">
        <v>900000</v>
      </c>
      <c r="M79" s="119">
        <v>76</v>
      </c>
      <c r="N79" s="109"/>
      <c r="O79" s="123"/>
      <c r="P79" s="119"/>
      <c r="Q79" s="154"/>
    </row>
    <row r="80" spans="1:17" x14ac:dyDescent="0.25">
      <c r="A80" s="156">
        <v>22</v>
      </c>
      <c r="B80" s="5" t="s">
        <v>1346</v>
      </c>
      <c r="C80" s="6">
        <v>46149</v>
      </c>
      <c r="D80" s="11" t="s">
        <v>9</v>
      </c>
      <c r="E80" s="16" t="s">
        <v>17</v>
      </c>
      <c r="F80" s="16" t="s">
        <v>1350</v>
      </c>
      <c r="G80" s="147">
        <v>5</v>
      </c>
      <c r="H80" s="9"/>
      <c r="I80" s="10">
        <v>1592000</v>
      </c>
      <c r="M80" s="119">
        <v>77</v>
      </c>
      <c r="N80" s="109"/>
      <c r="O80" s="123"/>
      <c r="P80" s="119"/>
      <c r="Q80" s="154"/>
    </row>
    <row r="81" spans="1:17" ht="21" x14ac:dyDescent="0.25">
      <c r="A81" s="156">
        <v>23</v>
      </c>
      <c r="B81" s="5" t="s">
        <v>1347</v>
      </c>
      <c r="C81" s="6">
        <v>46149</v>
      </c>
      <c r="D81" s="11" t="s">
        <v>9</v>
      </c>
      <c r="E81" s="16" t="s">
        <v>17</v>
      </c>
      <c r="F81" s="16" t="s">
        <v>1353</v>
      </c>
      <c r="G81" s="147">
        <v>5</v>
      </c>
      <c r="H81" s="9"/>
      <c r="I81" s="10">
        <v>88000</v>
      </c>
      <c r="M81" s="283" t="s">
        <v>805</v>
      </c>
      <c r="N81" s="283"/>
      <c r="O81" s="283"/>
      <c r="P81" s="283"/>
      <c r="Q81" s="283"/>
    </row>
    <row r="82" spans="1:17" ht="21" x14ac:dyDescent="0.25">
      <c r="A82" s="156">
        <v>24</v>
      </c>
      <c r="B82" s="5" t="s">
        <v>1610</v>
      </c>
      <c r="C82" s="6">
        <v>46180</v>
      </c>
      <c r="D82" s="11" t="s">
        <v>9</v>
      </c>
      <c r="E82" s="16" t="s">
        <v>17</v>
      </c>
      <c r="F82" s="16" t="s">
        <v>569</v>
      </c>
      <c r="G82" s="147">
        <v>6</v>
      </c>
      <c r="H82" s="9"/>
      <c r="I82" s="10">
        <v>1500000</v>
      </c>
      <c r="M82" s="283" t="s">
        <v>237</v>
      </c>
      <c r="N82" s="283"/>
      <c r="O82" s="283"/>
      <c r="P82" s="283"/>
      <c r="Q82" s="116">
        <f>SUM(Q84:Q100)</f>
        <v>83000</v>
      </c>
    </row>
    <row r="83" spans="1:17" ht="14.25" customHeight="1" x14ac:dyDescent="0.25">
      <c r="A83" s="156">
        <v>25</v>
      </c>
      <c r="B83" s="5" t="s">
        <v>1616</v>
      </c>
      <c r="C83" s="6">
        <v>46181</v>
      </c>
      <c r="D83" s="11" t="s">
        <v>21</v>
      </c>
      <c r="E83" s="16" t="s">
        <v>17</v>
      </c>
      <c r="F83" s="16" t="s">
        <v>1617</v>
      </c>
      <c r="G83" s="147">
        <v>6</v>
      </c>
      <c r="H83" s="9"/>
      <c r="I83" s="10">
        <v>900000</v>
      </c>
      <c r="M83" s="117" t="s">
        <v>647</v>
      </c>
      <c r="N83" s="117" t="s">
        <v>2</v>
      </c>
      <c r="O83" s="117" t="s">
        <v>4</v>
      </c>
      <c r="P83" s="117" t="s">
        <v>5</v>
      </c>
      <c r="Q83" s="118" t="s">
        <v>648</v>
      </c>
    </row>
    <row r="84" spans="1:17" ht="15" customHeight="1" x14ac:dyDescent="0.25">
      <c r="A84" s="156">
        <v>26</v>
      </c>
      <c r="B84" s="5" t="s">
        <v>1739</v>
      </c>
      <c r="C84" s="6">
        <v>46209</v>
      </c>
      <c r="D84" s="11" t="s">
        <v>9</v>
      </c>
      <c r="E84" s="16" t="s">
        <v>17</v>
      </c>
      <c r="F84" s="16" t="s">
        <v>569</v>
      </c>
      <c r="G84" s="147">
        <v>7</v>
      </c>
      <c r="H84" s="9"/>
      <c r="I84" s="10">
        <v>1250000</v>
      </c>
      <c r="M84" s="119">
        <v>1</v>
      </c>
      <c r="N84" s="109">
        <v>46068</v>
      </c>
      <c r="O84" s="120" t="s">
        <v>196</v>
      </c>
      <c r="P84" s="121" t="s">
        <v>803</v>
      </c>
      <c r="Q84" s="122">
        <v>70000</v>
      </c>
    </row>
    <row r="85" spans="1:17" ht="15.75" x14ac:dyDescent="0.25">
      <c r="A85" s="156">
        <v>27</v>
      </c>
      <c r="B85" s="172"/>
      <c r="C85" s="6"/>
      <c r="D85" s="11"/>
      <c r="E85" s="16"/>
      <c r="F85" s="13"/>
      <c r="G85" s="147"/>
      <c r="H85" s="9"/>
      <c r="I85" s="10"/>
      <c r="M85" s="119">
        <v>2</v>
      </c>
      <c r="N85" s="109">
        <v>45703</v>
      </c>
      <c r="O85" s="120" t="s">
        <v>196</v>
      </c>
      <c r="P85" s="121" t="s">
        <v>804</v>
      </c>
      <c r="Q85" s="122">
        <v>13000</v>
      </c>
    </row>
    <row r="86" spans="1:17" ht="15.75" x14ac:dyDescent="0.25">
      <c r="A86" s="156">
        <v>28</v>
      </c>
      <c r="B86" s="172"/>
      <c r="C86" s="6"/>
      <c r="D86" s="11"/>
      <c r="E86" s="16"/>
      <c r="F86" s="13"/>
      <c r="G86" s="147"/>
      <c r="H86" s="9"/>
      <c r="I86" s="10"/>
      <c r="M86" s="119">
        <v>3</v>
      </c>
      <c r="N86" s="109"/>
      <c r="O86" s="120"/>
      <c r="P86" s="121"/>
      <c r="Q86" s="122"/>
    </row>
    <row r="87" spans="1:17" ht="15.75" x14ac:dyDescent="0.25">
      <c r="A87" s="156">
        <v>29</v>
      </c>
      <c r="B87" s="172"/>
      <c r="C87" s="6"/>
      <c r="D87" s="11"/>
      <c r="E87" s="16"/>
      <c r="F87" s="13"/>
      <c r="G87" s="147"/>
      <c r="H87" s="9"/>
      <c r="I87" s="10"/>
      <c r="M87" s="119">
        <v>4</v>
      </c>
      <c r="N87" s="109"/>
      <c r="O87" s="120"/>
      <c r="P87" s="121"/>
      <c r="Q87" s="122"/>
    </row>
    <row r="88" spans="1:17" ht="15.75" x14ac:dyDescent="0.25">
      <c r="A88" s="156">
        <v>30</v>
      </c>
      <c r="B88" s="163"/>
      <c r="C88" s="6"/>
      <c r="D88" s="11"/>
      <c r="E88" s="16"/>
      <c r="F88" s="13"/>
      <c r="G88" s="147"/>
      <c r="H88" s="9"/>
      <c r="I88" s="10"/>
      <c r="M88" s="119">
        <v>5</v>
      </c>
      <c r="N88" s="109"/>
      <c r="O88" s="120"/>
      <c r="P88" s="121"/>
      <c r="Q88" s="122"/>
    </row>
    <row r="89" spans="1:17" x14ac:dyDescent="0.25">
      <c r="A89" s="156">
        <v>31</v>
      </c>
      <c r="B89" s="163" t="s">
        <v>1063</v>
      </c>
      <c r="C89" s="6">
        <v>46117</v>
      </c>
      <c r="D89" s="11" t="s">
        <v>21</v>
      </c>
      <c r="E89" s="16" t="s">
        <v>17</v>
      </c>
      <c r="F89" s="16" t="s">
        <v>1064</v>
      </c>
      <c r="G89" s="147">
        <v>4</v>
      </c>
      <c r="H89" s="9"/>
      <c r="I89" s="10">
        <v>1800000</v>
      </c>
      <c r="M89" s="119">
        <v>6</v>
      </c>
      <c r="N89" s="109"/>
      <c r="O89" s="123"/>
      <c r="P89" s="119"/>
      <c r="Q89" s="122"/>
    </row>
    <row r="90" spans="1:17" x14ac:dyDescent="0.25">
      <c r="A90" s="156">
        <v>32</v>
      </c>
      <c r="B90" s="163" t="s">
        <v>1085</v>
      </c>
      <c r="C90" s="6">
        <v>46123</v>
      </c>
      <c r="D90" s="11" t="s">
        <v>9</v>
      </c>
      <c r="E90" s="16" t="s">
        <v>17</v>
      </c>
      <c r="F90" s="16" t="s">
        <v>868</v>
      </c>
      <c r="G90" s="147">
        <v>4</v>
      </c>
      <c r="H90" s="9"/>
      <c r="I90" s="10">
        <v>500000</v>
      </c>
      <c r="M90" s="119">
        <v>7</v>
      </c>
      <c r="N90" s="109"/>
      <c r="O90" s="123"/>
      <c r="P90" s="119"/>
      <c r="Q90" s="122"/>
    </row>
    <row r="91" spans="1:17" x14ac:dyDescent="0.25">
      <c r="A91" s="156">
        <v>33</v>
      </c>
      <c r="B91" s="163" t="s">
        <v>1086</v>
      </c>
      <c r="C91" s="6">
        <v>46123</v>
      </c>
      <c r="D91" s="11" t="s">
        <v>9</v>
      </c>
      <c r="E91" s="16" t="s">
        <v>17</v>
      </c>
      <c r="F91" s="16" t="s">
        <v>1087</v>
      </c>
      <c r="G91" s="147">
        <v>4</v>
      </c>
      <c r="H91" s="9"/>
      <c r="I91" s="10">
        <v>1000000</v>
      </c>
      <c r="M91" s="119">
        <v>8</v>
      </c>
      <c r="N91" s="109"/>
      <c r="O91" s="123"/>
      <c r="P91" s="119"/>
      <c r="Q91" s="122"/>
    </row>
    <row r="92" spans="1:17" ht="15.75" x14ac:dyDescent="0.25">
      <c r="A92" s="156"/>
      <c r="B92" s="173"/>
      <c r="C92" s="6"/>
      <c r="D92" s="11"/>
      <c r="E92" s="8"/>
      <c r="F92" s="101"/>
      <c r="G92" s="100"/>
      <c r="H92" s="9"/>
      <c r="I92" s="10"/>
      <c r="M92" s="119">
        <v>9</v>
      </c>
      <c r="N92" s="109"/>
      <c r="O92" s="123"/>
      <c r="P92" s="119"/>
      <c r="Q92" s="122"/>
    </row>
    <row r="93" spans="1:17" ht="15.75" x14ac:dyDescent="0.25">
      <c r="A93" s="156">
        <v>34</v>
      </c>
      <c r="B93" s="163" t="s">
        <v>110</v>
      </c>
      <c r="C93" s="6">
        <v>46032</v>
      </c>
      <c r="D93" s="11" t="s">
        <v>9</v>
      </c>
      <c r="E93" s="8" t="s">
        <v>111</v>
      </c>
      <c r="F93" s="101" t="s">
        <v>112</v>
      </c>
      <c r="G93" s="100" t="s">
        <v>616</v>
      </c>
      <c r="H93" s="9" t="s">
        <v>17</v>
      </c>
      <c r="I93" s="10">
        <v>900000</v>
      </c>
      <c r="M93" s="119">
        <v>90</v>
      </c>
      <c r="N93" s="109"/>
      <c r="O93" s="123"/>
      <c r="P93" s="119"/>
      <c r="Q93" s="122"/>
    </row>
    <row r="94" spans="1:17" ht="15.75" x14ac:dyDescent="0.25">
      <c r="A94" s="156">
        <v>35</v>
      </c>
      <c r="B94" s="163" t="s">
        <v>817</v>
      </c>
      <c r="C94" s="6">
        <v>46071</v>
      </c>
      <c r="D94" s="11" t="s">
        <v>9</v>
      </c>
      <c r="E94" s="16" t="s">
        <v>819</v>
      </c>
      <c r="F94" s="13" t="s">
        <v>820</v>
      </c>
      <c r="G94" s="147">
        <v>2</v>
      </c>
      <c r="H94" s="9" t="s">
        <v>17</v>
      </c>
      <c r="I94" s="10">
        <v>400000</v>
      </c>
      <c r="M94" s="119">
        <v>91</v>
      </c>
      <c r="N94" s="109"/>
      <c r="O94" s="123"/>
      <c r="P94" s="119"/>
      <c r="Q94" s="122"/>
    </row>
    <row r="95" spans="1:17" x14ac:dyDescent="0.25">
      <c r="M95" s="119">
        <v>92</v>
      </c>
      <c r="N95" s="109"/>
      <c r="O95" s="123"/>
      <c r="P95" s="119"/>
      <c r="Q95" s="122"/>
    </row>
    <row r="96" spans="1:17" x14ac:dyDescent="0.25">
      <c r="M96" s="119">
        <v>93</v>
      </c>
      <c r="N96" s="109"/>
      <c r="O96" s="123"/>
      <c r="P96" s="119"/>
      <c r="Q96" s="122"/>
    </row>
    <row r="97" spans="1:17" x14ac:dyDescent="0.25">
      <c r="M97" s="119">
        <v>94</v>
      </c>
      <c r="N97" s="109"/>
      <c r="O97" s="123"/>
      <c r="P97" s="119"/>
      <c r="Q97" s="122"/>
    </row>
    <row r="98" spans="1:17" x14ac:dyDescent="0.25">
      <c r="M98" s="119">
        <v>95</v>
      </c>
      <c r="N98" s="109"/>
      <c r="O98" s="123"/>
      <c r="P98" s="119"/>
      <c r="Q98" s="122"/>
    </row>
    <row r="99" spans="1:17" x14ac:dyDescent="0.25">
      <c r="M99" s="119">
        <v>96</v>
      </c>
      <c r="N99" s="109"/>
      <c r="O99" s="123"/>
      <c r="P99" s="119"/>
      <c r="Q99" s="122"/>
    </row>
    <row r="100" spans="1:17" x14ac:dyDescent="0.25">
      <c r="M100" s="119">
        <v>97</v>
      </c>
      <c r="N100" s="109"/>
      <c r="O100" s="123"/>
      <c r="P100" s="119"/>
      <c r="Q100" s="122"/>
    </row>
    <row r="106" spans="1:17" x14ac:dyDescent="0.25">
      <c r="A106" s="285" t="s">
        <v>1572</v>
      </c>
      <c r="B106" s="285"/>
      <c r="C106" s="285"/>
      <c r="D106" s="285"/>
    </row>
    <row r="107" spans="1:17" x14ac:dyDescent="0.25">
      <c r="A107" s="17" t="s">
        <v>578</v>
      </c>
      <c r="B107" s="6">
        <v>46166</v>
      </c>
      <c r="C107" s="16" t="s">
        <v>1571</v>
      </c>
      <c r="D107" s="10">
        <v>5000000</v>
      </c>
    </row>
    <row r="108" spans="1:17" x14ac:dyDescent="0.25">
      <c r="A108" s="17"/>
      <c r="B108" s="6"/>
      <c r="C108" s="16"/>
      <c r="D108" s="10"/>
    </row>
    <row r="109" spans="1:17" x14ac:dyDescent="0.25">
      <c r="A109" s="17"/>
      <c r="B109" s="6"/>
      <c r="C109" s="16"/>
      <c r="D109" s="10"/>
    </row>
    <row r="110" spans="1:17" x14ac:dyDescent="0.25">
      <c r="A110" s="17"/>
      <c r="B110" s="6"/>
      <c r="C110" s="16"/>
      <c r="D110" s="10"/>
    </row>
    <row r="141" ht="15.75" customHeight="1" x14ac:dyDescent="0.25"/>
  </sheetData>
  <mergeCells count="21">
    <mergeCell ref="A106:D106"/>
    <mergeCell ref="A1:F2"/>
    <mergeCell ref="G1:H2"/>
    <mergeCell ref="I1:I2"/>
    <mergeCell ref="A56:F57"/>
    <mergeCell ref="G56:H57"/>
    <mergeCell ref="I56:I57"/>
    <mergeCell ref="A48:F49"/>
    <mergeCell ref="G48:H49"/>
    <mergeCell ref="I48:I49"/>
    <mergeCell ref="A38:F39"/>
    <mergeCell ref="G38:H39"/>
    <mergeCell ref="I38:I39"/>
    <mergeCell ref="G19:H20"/>
    <mergeCell ref="I19:I20"/>
    <mergeCell ref="A19:F20"/>
    <mergeCell ref="M1:Q1"/>
    <mergeCell ref="M2:P2"/>
    <mergeCell ref="M82:P82"/>
    <mergeCell ref="M81:Q81"/>
    <mergeCell ref="S18:T18"/>
  </mergeCells>
  <phoneticPr fontId="38" type="noConversion"/>
  <conditionalFormatting sqref="B40">
    <cfRule type="duplicateValues" dxfId="50" priority="102"/>
  </conditionalFormatting>
  <conditionalFormatting sqref="B85:B91">
    <cfRule type="duplicateValues" dxfId="49" priority="71"/>
  </conditionalFormatting>
  <conditionalFormatting sqref="B92:B93">
    <cfRule type="duplicateValues" dxfId="48" priority="64"/>
  </conditionalFormatting>
  <conditionalFormatting sqref="B44">
    <cfRule type="duplicateValues" dxfId="47" priority="56"/>
  </conditionalFormatting>
  <conditionalFormatting sqref="B50">
    <cfRule type="duplicateValues" dxfId="46" priority="54"/>
  </conditionalFormatting>
  <conditionalFormatting sqref="B54">
    <cfRule type="duplicateValues" dxfId="45" priority="52"/>
  </conditionalFormatting>
  <conditionalFormatting sqref="B3">
    <cfRule type="duplicateValues" dxfId="44" priority="40"/>
  </conditionalFormatting>
  <conditionalFormatting sqref="B8:B9">
    <cfRule type="duplicateValues" dxfId="43" priority="30"/>
  </conditionalFormatting>
  <conditionalFormatting sqref="B45">
    <cfRule type="duplicateValues" dxfId="42" priority="28"/>
  </conditionalFormatting>
  <conditionalFormatting sqref="B58">
    <cfRule type="duplicateValues" dxfId="41" priority="26"/>
  </conditionalFormatting>
  <conditionalFormatting sqref="B94">
    <cfRule type="duplicateValues" dxfId="40" priority="25"/>
  </conditionalFormatting>
  <conditionalFormatting sqref="B21">
    <cfRule type="duplicateValues" dxfId="39" priority="22"/>
  </conditionalFormatting>
  <conditionalFormatting sqref="B22:B35">
    <cfRule type="duplicateValues" dxfId="38" priority="20"/>
  </conditionalFormatting>
  <conditionalFormatting sqref="I22:I24">
    <cfRule type="expression" dxfId="37" priority="410" stopIfTrue="1">
      <formula>I36:I2022&gt;110000000</formula>
    </cfRule>
  </conditionalFormatting>
  <conditionalFormatting sqref="I26:I28">
    <cfRule type="expression" dxfId="36" priority="411" stopIfTrue="1">
      <formula>I36:I2027&gt;110000000</formula>
    </cfRule>
  </conditionalFormatting>
  <conditionalFormatting sqref="I25">
    <cfRule type="expression" dxfId="35" priority="419" stopIfTrue="1">
      <formula>I1:I2025&gt;110000000</formula>
    </cfRule>
  </conditionalFormatting>
  <conditionalFormatting sqref="I29:I35">
    <cfRule type="expression" dxfId="34" priority="421" stopIfTrue="1">
      <formula>I1:I2030&gt;110000000</formula>
    </cfRule>
  </conditionalFormatting>
  <conditionalFormatting sqref="I54 I44:I45">
    <cfRule type="expression" dxfId="33" priority="422" stopIfTrue="1">
      <formula>I44:I2127&gt;110000000</formula>
    </cfRule>
  </conditionalFormatting>
  <conditionalFormatting sqref="I9">
    <cfRule type="expression" dxfId="32" priority="427" stopIfTrue="1">
      <formula>I154:I2187&gt;110000000</formula>
    </cfRule>
  </conditionalFormatting>
  <conditionalFormatting sqref="I94">
    <cfRule type="expression" dxfId="31" priority="434" stopIfTrue="1">
      <formula>I108:I2175&gt;110000000</formula>
    </cfRule>
  </conditionalFormatting>
  <conditionalFormatting sqref="I92:I93">
    <cfRule type="expression" dxfId="30" priority="435" stopIfTrue="1">
      <formula>I108:I2172&gt;110000000</formula>
    </cfRule>
  </conditionalFormatting>
  <conditionalFormatting sqref="I85:I91">
    <cfRule type="expression" dxfId="29" priority="446" stopIfTrue="1">
      <formula>I1:I2166&gt;110000000</formula>
    </cfRule>
  </conditionalFormatting>
  <conditionalFormatting sqref="D107:D110">
    <cfRule type="expression" dxfId="28" priority="15" stopIfTrue="1">
      <formula>D123:D2187&gt;110000000</formula>
    </cfRule>
  </conditionalFormatting>
  <conditionalFormatting sqref="B51:B53">
    <cfRule type="duplicateValues" dxfId="27" priority="14"/>
  </conditionalFormatting>
  <conditionalFormatting sqref="I51:I53">
    <cfRule type="expression" dxfId="26" priority="13" stopIfTrue="1">
      <formula>I51:I2050&gt;110000000</formula>
    </cfRule>
  </conditionalFormatting>
  <conditionalFormatting sqref="B59:B84">
    <cfRule type="duplicateValues" dxfId="25" priority="7"/>
  </conditionalFormatting>
  <conditionalFormatting sqref="I59:I62">
    <cfRule type="expression" dxfId="24" priority="8" stopIfTrue="1">
      <formula>I59:I2059&gt;110000000</formula>
    </cfRule>
  </conditionalFormatting>
  <conditionalFormatting sqref="I63:I76">
    <cfRule type="expression" dxfId="23" priority="6" stopIfTrue="1">
      <formula>I63:I2064&gt;110000000</formula>
    </cfRule>
  </conditionalFormatting>
  <conditionalFormatting sqref="I77:I84">
    <cfRule type="expression" dxfId="22" priority="5" stopIfTrue="1">
      <formula>I77:I2076&gt;110000000</formula>
    </cfRule>
  </conditionalFormatting>
  <conditionalFormatting sqref="B41:B43">
    <cfRule type="duplicateValues" dxfId="21" priority="3"/>
  </conditionalFormatting>
  <conditionalFormatting sqref="I41">
    <cfRule type="expression" dxfId="20" priority="4" stopIfTrue="1">
      <formula>I41:I2042&gt;110000000</formula>
    </cfRule>
  </conditionalFormatting>
  <conditionalFormatting sqref="I42">
    <cfRule type="expression" dxfId="19" priority="2" stopIfTrue="1">
      <formula>I42:I2044&gt;110000000</formula>
    </cfRule>
  </conditionalFormatting>
  <conditionalFormatting sqref="I43">
    <cfRule type="expression" dxfId="18" priority="1" stopIfTrue="1">
      <formula>I43:I2043&gt;110000000</formula>
    </cfRule>
  </conditionalFormatting>
  <dataValidations count="3">
    <dataValidation type="list" allowBlank="1" showInputMessage="1" showErrorMessage="1" sqref="AC4 D22:D35 T26 D54 D85:D94 D44:D45" xr:uid="{A47D19CB-1BAD-4A75-A4BB-1F97484A9298}">
      <formula1>#REF!</formula1>
    </dataValidation>
    <dataValidation type="list" allowBlank="1" showInputMessage="1" showErrorMessage="1" sqref="D51:D53 D82:D84" xr:uid="{ED3E6B48-FB1A-4F81-A3E2-640FFDC8BF1A}">
      <formula1>$AB$4:$AB$9</formula1>
    </dataValidation>
    <dataValidation type="list" allowBlank="1" showInputMessage="1" showErrorMessage="1" sqref="D59:D81 D41:D43" xr:uid="{DBF797DC-9A81-4C04-B224-0BCA2B94AE14}">
      <formula1>$AB$4:$AB$5</formula1>
    </dataValidation>
  </dataValidations>
  <pageMargins left="0.25" right="0.25" top="0.75" bottom="0.75" header="0.3" footer="0.3"/>
  <pageSetup scale="20" orientation="landscape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10254-03BD-458F-8B5B-383A542D6714}">
  <sheetPr codeName="Sheet5">
    <tabColor theme="5" tint="-0.249977111117893"/>
    <pageSetUpPr fitToPage="1"/>
  </sheetPr>
  <dimension ref="A1:AOB309"/>
  <sheetViews>
    <sheetView rightToLeft="1" zoomScale="90" zoomScaleNormal="90" workbookViewId="0">
      <selection activeCell="A3" sqref="A3"/>
    </sheetView>
  </sheetViews>
  <sheetFormatPr defaultRowHeight="15" x14ac:dyDescent="0.25"/>
  <cols>
    <col min="1" max="1" width="7.85546875" bestFit="1" customWidth="1"/>
    <col min="2" max="3" width="12.7109375" customWidth="1"/>
    <col min="4" max="4" width="19.5703125" customWidth="1"/>
    <col min="5" max="5" width="20.28515625" bestFit="1" customWidth="1"/>
    <col min="6" max="6" width="45.140625" bestFit="1" customWidth="1"/>
    <col min="7" max="7" width="5.140625" customWidth="1"/>
    <col min="8" max="8" width="17" customWidth="1"/>
    <col min="9" max="9" width="20" customWidth="1"/>
    <col min="11" max="11" width="16.42578125" bestFit="1" customWidth="1"/>
    <col min="12" max="12" width="18.28515625" customWidth="1"/>
    <col min="13" max="13" width="16.42578125" bestFit="1" customWidth="1"/>
    <col min="14" max="14" width="15.28515625" bestFit="1" customWidth="1"/>
    <col min="15" max="15" width="38.5703125" bestFit="1" customWidth="1"/>
    <col min="16" max="16" width="18.28515625" customWidth="1"/>
    <col min="17" max="17" width="16.42578125" bestFit="1" customWidth="1"/>
    <col min="18" max="18" width="17" bestFit="1" customWidth="1"/>
    <col min="19" max="20" width="16.42578125" bestFit="1" customWidth="1"/>
    <col min="21" max="21" width="17.7109375" bestFit="1" customWidth="1"/>
    <col min="22" max="22" width="16.42578125" bestFit="1" customWidth="1"/>
    <col min="24" max="24" width="16.42578125" bestFit="1" customWidth="1"/>
    <col min="25" max="25" width="18.28515625" bestFit="1" customWidth="1"/>
    <col min="26" max="26" width="16.42578125" bestFit="1" customWidth="1"/>
    <col min="34" max="34" width="14.5703125" bestFit="1" customWidth="1"/>
    <col min="36" max="36" width="5.7109375" bestFit="1" customWidth="1"/>
    <col min="37" max="37" width="17" bestFit="1" customWidth="1"/>
    <col min="727" max="727" width="16.42578125" bestFit="1" customWidth="1"/>
    <col min="730" max="730" width="7.5703125" customWidth="1"/>
    <col min="731" max="731" width="4" bestFit="1" customWidth="1"/>
    <col min="732" max="732" width="14.5703125" bestFit="1" customWidth="1"/>
    <col min="733" max="733" width="10.42578125" bestFit="1" customWidth="1"/>
    <col min="734" max="734" width="14.5703125" bestFit="1" customWidth="1"/>
    <col min="735" max="735" width="16.5703125" bestFit="1" customWidth="1"/>
    <col min="736" max="736" width="42.28515625" bestFit="1" customWidth="1"/>
    <col min="737" max="737" width="5.7109375" bestFit="1" customWidth="1"/>
    <col min="738" max="738" width="15.85546875" bestFit="1" customWidth="1"/>
    <col min="739" max="739" width="16.42578125" bestFit="1" customWidth="1"/>
    <col min="1061" max="1061" width="10.5703125" bestFit="1" customWidth="1"/>
    <col min="1062" max="1062" width="10.42578125" bestFit="1" customWidth="1"/>
    <col min="1063" max="1063" width="10.5703125" bestFit="1" customWidth="1"/>
    <col min="1064" max="1064" width="15.7109375" bestFit="1" customWidth="1"/>
    <col min="1065" max="1065" width="46.42578125" bestFit="1" customWidth="1"/>
    <col min="1066" max="1066" width="7.140625" bestFit="1" customWidth="1"/>
    <col min="1068" max="1068" width="15.42578125" bestFit="1" customWidth="1"/>
  </cols>
  <sheetData>
    <row r="1" spans="1:736" ht="15.75" x14ac:dyDescent="0.25">
      <c r="A1" s="90" t="s">
        <v>615</v>
      </c>
      <c r="B1" s="90" t="s">
        <v>3</v>
      </c>
      <c r="C1" s="326" t="s">
        <v>618</v>
      </c>
      <c r="D1" s="327"/>
      <c r="E1" s="327"/>
      <c r="F1" s="327"/>
      <c r="G1" s="328"/>
      <c r="H1" s="329">
        <f>SUM(I86+I169+I213+I239)</f>
        <v>63538000</v>
      </c>
      <c r="I1" s="330"/>
      <c r="L1" s="6" t="s">
        <v>1863</v>
      </c>
      <c r="M1" s="10">
        <v>26483000</v>
      </c>
    </row>
    <row r="2" spans="1:736" ht="15.75" x14ac:dyDescent="0.25">
      <c r="A2" s="107" t="s">
        <v>620</v>
      </c>
      <c r="B2" s="7" t="s">
        <v>15</v>
      </c>
      <c r="C2" s="313" t="s">
        <v>1861</v>
      </c>
      <c r="D2" s="314"/>
      <c r="E2" s="314"/>
      <c r="F2" s="315"/>
      <c r="G2" s="270" t="s">
        <v>619</v>
      </c>
      <c r="H2" s="272"/>
      <c r="I2" s="303">
        <f>SUMIFS(I5:I84,H5:H84,H13)</f>
        <v>134783000</v>
      </c>
      <c r="J2" s="319"/>
    </row>
    <row r="3" spans="1:736" ht="15.75" x14ac:dyDescent="0.25">
      <c r="A3" s="107" t="s">
        <v>620</v>
      </c>
      <c r="B3" s="11" t="s">
        <v>26</v>
      </c>
      <c r="C3" s="316"/>
      <c r="D3" s="317"/>
      <c r="E3" s="317"/>
      <c r="F3" s="318"/>
      <c r="G3" s="273"/>
      <c r="H3" s="275"/>
      <c r="I3" s="304"/>
      <c r="J3" s="319"/>
    </row>
    <row r="4" spans="1:736" ht="15.75" x14ac:dyDescent="0.25">
      <c r="A4" s="1" t="s">
        <v>0</v>
      </c>
      <c r="B4" s="89" t="s">
        <v>1</v>
      </c>
      <c r="C4" s="90" t="s">
        <v>2</v>
      </c>
      <c r="D4" s="90" t="s">
        <v>3</v>
      </c>
      <c r="E4" s="90" t="s">
        <v>4</v>
      </c>
      <c r="F4" s="91" t="s">
        <v>5</v>
      </c>
      <c r="G4" s="90" t="s">
        <v>615</v>
      </c>
      <c r="H4" s="2" t="s">
        <v>6</v>
      </c>
      <c r="I4" s="3" t="s">
        <v>7</v>
      </c>
      <c r="K4" s="302" t="str">
        <f>C2</f>
        <v>الشهر السابع ل 2026</v>
      </c>
      <c r="L4" s="302"/>
      <c r="M4" s="302"/>
      <c r="O4" s="306" t="s">
        <v>1591</v>
      </c>
      <c r="P4" s="307"/>
      <c r="Q4" s="307"/>
      <c r="T4" s="302" t="s">
        <v>1362</v>
      </c>
      <c r="U4" s="302"/>
      <c r="V4" s="302"/>
      <c r="X4" s="302" t="s">
        <v>1363</v>
      </c>
      <c r="Y4" s="302"/>
      <c r="Z4" s="302"/>
      <c r="AAZ4" s="107" t="s">
        <v>621</v>
      </c>
      <c r="ABA4" s="7" t="s">
        <v>15</v>
      </c>
      <c r="ABB4" s="313" t="s">
        <v>707</v>
      </c>
      <c r="ABC4" s="314"/>
      <c r="ABD4" s="314"/>
      <c r="ABE4" s="315"/>
      <c r="ABF4" s="270" t="s">
        <v>619</v>
      </c>
      <c r="ABG4" s="272"/>
      <c r="ABH4" s="303">
        <f>SUMIFS(ABK7:ABK86,ABJ7:ABJ86,ABG7)</f>
        <v>24000000</v>
      </c>
    </row>
    <row r="5" spans="1:736" ht="15.75" x14ac:dyDescent="0.25">
      <c r="A5" s="4">
        <v>383</v>
      </c>
      <c r="B5" s="5" t="s">
        <v>1224</v>
      </c>
      <c r="C5" s="6">
        <v>46144</v>
      </c>
      <c r="D5" s="11" t="s">
        <v>15</v>
      </c>
      <c r="E5" s="16" t="s">
        <v>411</v>
      </c>
      <c r="F5" s="13" t="s">
        <v>1225</v>
      </c>
      <c r="G5" s="147">
        <v>5</v>
      </c>
      <c r="H5" s="9" t="s">
        <v>886</v>
      </c>
      <c r="I5" s="10">
        <v>6000000</v>
      </c>
      <c r="K5" s="1" t="s">
        <v>0</v>
      </c>
      <c r="L5" s="110" t="s">
        <v>3</v>
      </c>
      <c r="M5" s="3" t="s">
        <v>7</v>
      </c>
      <c r="O5" s="158" t="s">
        <v>1587</v>
      </c>
      <c r="P5" s="158" t="s">
        <v>1588</v>
      </c>
      <c r="Q5" s="158" t="s">
        <v>1589</v>
      </c>
      <c r="T5" s="1" t="s">
        <v>0</v>
      </c>
      <c r="U5" s="110" t="s">
        <v>3</v>
      </c>
      <c r="V5" s="3" t="s">
        <v>7</v>
      </c>
      <c r="X5" s="1" t="s">
        <v>0</v>
      </c>
      <c r="Y5" s="110" t="s">
        <v>3</v>
      </c>
      <c r="Z5" s="3" t="s">
        <v>7</v>
      </c>
      <c r="AAZ5" s="107" t="s">
        <v>621</v>
      </c>
      <c r="ABA5" s="11" t="s">
        <v>26</v>
      </c>
      <c r="ABB5" s="316"/>
      <c r="ABC5" s="317"/>
      <c r="ABD5" s="317"/>
      <c r="ABE5" s="318"/>
      <c r="ABF5" s="273"/>
      <c r="ABG5" s="275"/>
      <c r="ABH5" s="304"/>
    </row>
    <row r="6" spans="1:736" ht="15.75" x14ac:dyDescent="0.25">
      <c r="A6" s="4">
        <v>384</v>
      </c>
      <c r="B6" s="5" t="s">
        <v>1241</v>
      </c>
      <c r="C6" s="6">
        <v>46144</v>
      </c>
      <c r="D6" s="11" t="s">
        <v>15</v>
      </c>
      <c r="E6" s="16" t="s">
        <v>388</v>
      </c>
      <c r="F6" s="13" t="s">
        <v>1242</v>
      </c>
      <c r="G6" s="147">
        <v>5</v>
      </c>
      <c r="H6" s="9" t="s">
        <v>886</v>
      </c>
      <c r="I6" s="10">
        <v>6000000</v>
      </c>
      <c r="K6" s="4">
        <v>1</v>
      </c>
      <c r="L6" s="6" t="s">
        <v>627</v>
      </c>
      <c r="M6" s="112">
        <f>I2+M8</f>
        <v>134783000</v>
      </c>
      <c r="O6" s="5" t="s">
        <v>1437</v>
      </c>
      <c r="P6" s="6">
        <v>46155</v>
      </c>
      <c r="Q6" s="10">
        <v>5000000</v>
      </c>
      <c r="T6" s="4">
        <v>1</v>
      </c>
      <c r="U6" s="6" t="s">
        <v>627</v>
      </c>
      <c r="V6" s="112">
        <v>163335000</v>
      </c>
      <c r="X6" s="4">
        <v>1</v>
      </c>
      <c r="Y6" s="6" t="s">
        <v>627</v>
      </c>
      <c r="Z6" s="112">
        <v>204397500</v>
      </c>
      <c r="AAZ6" s="1" t="s">
        <v>0</v>
      </c>
      <c r="ABA6" s="89" t="s">
        <v>1</v>
      </c>
      <c r="ABB6" s="90" t="s">
        <v>2</v>
      </c>
      <c r="ABC6" s="90" t="s">
        <v>3</v>
      </c>
      <c r="ABD6" s="90" t="s">
        <v>4</v>
      </c>
      <c r="ABE6" s="91" t="s">
        <v>5</v>
      </c>
      <c r="ABF6" s="90" t="s">
        <v>615</v>
      </c>
      <c r="ABG6" s="2" t="s">
        <v>6</v>
      </c>
      <c r="ABH6" s="3" t="s">
        <v>7</v>
      </c>
    </row>
    <row r="7" spans="1:736" ht="15.75" x14ac:dyDescent="0.25">
      <c r="A7" s="4">
        <v>428</v>
      </c>
      <c r="B7" s="5" t="s">
        <v>1734</v>
      </c>
      <c r="C7" s="6">
        <v>46147</v>
      </c>
      <c r="D7" s="11" t="s">
        <v>26</v>
      </c>
      <c r="E7" s="16" t="s">
        <v>578</v>
      </c>
      <c r="F7" s="16" t="s">
        <v>1327</v>
      </c>
      <c r="G7" s="147">
        <v>5</v>
      </c>
      <c r="H7" s="9" t="s">
        <v>886</v>
      </c>
      <c r="I7" s="10">
        <v>2000000</v>
      </c>
      <c r="K7" s="4">
        <v>2</v>
      </c>
      <c r="L7" s="6" t="s">
        <v>628</v>
      </c>
      <c r="M7" s="111">
        <f>$H$1</f>
        <v>63538000</v>
      </c>
      <c r="O7" s="5" t="s">
        <v>1444</v>
      </c>
      <c r="P7" s="6">
        <v>46156</v>
      </c>
      <c r="Q7" s="10">
        <v>2050000</v>
      </c>
      <c r="T7" s="4">
        <v>2</v>
      </c>
      <c r="U7" s="6" t="s">
        <v>628</v>
      </c>
      <c r="V7" s="111">
        <v>160279000</v>
      </c>
      <c r="X7" s="4">
        <v>2</v>
      </c>
      <c r="Y7" s="182" t="s">
        <v>1360</v>
      </c>
      <c r="Z7" s="112">
        <v>3056000</v>
      </c>
      <c r="AAV7" s="10">
        <v>5000000</v>
      </c>
      <c r="AAZ7" s="4">
        <v>109</v>
      </c>
      <c r="ABA7" s="5" t="s">
        <v>637</v>
      </c>
      <c r="ABB7" s="6">
        <v>46054</v>
      </c>
      <c r="ABC7" s="11" t="s">
        <v>15</v>
      </c>
      <c r="ABD7" s="16" t="s">
        <v>358</v>
      </c>
      <c r="ABE7" s="13" t="s">
        <v>630</v>
      </c>
      <c r="ABF7" s="147">
        <v>2</v>
      </c>
      <c r="ABG7" s="9" t="s">
        <v>886</v>
      </c>
      <c r="ABH7" s="10">
        <v>4000000</v>
      </c>
    </row>
    <row r="8" spans="1:736" ht="15.75" x14ac:dyDescent="0.25">
      <c r="A8" s="4">
        <v>432</v>
      </c>
      <c r="B8" s="5" t="s">
        <v>1323</v>
      </c>
      <c r="C8" s="6">
        <v>46148</v>
      </c>
      <c r="D8" s="11" t="s">
        <v>15</v>
      </c>
      <c r="E8" s="16" t="s">
        <v>372</v>
      </c>
      <c r="F8" s="180" t="s">
        <v>1325</v>
      </c>
      <c r="G8" s="147">
        <v>5</v>
      </c>
      <c r="H8" s="9" t="s">
        <v>886</v>
      </c>
      <c r="I8" s="10">
        <v>6000000</v>
      </c>
      <c r="K8" s="4">
        <v>3</v>
      </c>
      <c r="L8" s="6" t="s">
        <v>1862</v>
      </c>
      <c r="M8" s="241"/>
      <c r="O8" s="5" t="s">
        <v>1448</v>
      </c>
      <c r="P8" s="6">
        <v>46156</v>
      </c>
      <c r="Q8" s="10">
        <v>260000</v>
      </c>
      <c r="X8" s="4">
        <v>3</v>
      </c>
      <c r="Y8" s="6" t="s">
        <v>628</v>
      </c>
      <c r="Z8" s="111">
        <v>207453500</v>
      </c>
      <c r="AAV8" s="10">
        <v>6000000</v>
      </c>
      <c r="AAZ8" s="4">
        <v>115</v>
      </c>
      <c r="ABA8" s="5" t="s">
        <v>643</v>
      </c>
      <c r="ABB8" s="6">
        <v>46055</v>
      </c>
      <c r="ABC8" s="11" t="s">
        <v>15</v>
      </c>
      <c r="ABD8" s="16" t="s">
        <v>437</v>
      </c>
      <c r="ABE8" s="13" t="s">
        <v>571</v>
      </c>
      <c r="ABF8" s="147">
        <v>2</v>
      </c>
      <c r="ABG8" s="9" t="s">
        <v>886</v>
      </c>
      <c r="ABH8" s="10">
        <v>5000000</v>
      </c>
    </row>
    <row r="9" spans="1:736" ht="15.75" x14ac:dyDescent="0.25">
      <c r="A9" s="4">
        <v>433</v>
      </c>
      <c r="B9" s="5" t="s">
        <v>1324</v>
      </c>
      <c r="C9" s="6">
        <v>46148</v>
      </c>
      <c r="D9" s="11" t="s">
        <v>15</v>
      </c>
      <c r="E9" s="16" t="s">
        <v>374</v>
      </c>
      <c r="F9" s="180" t="s">
        <v>1326</v>
      </c>
      <c r="G9" s="147">
        <v>5</v>
      </c>
      <c r="H9" s="9" t="s">
        <v>886</v>
      </c>
      <c r="I9" s="10">
        <v>3000000</v>
      </c>
      <c r="O9" s="5" t="s">
        <v>1566</v>
      </c>
      <c r="P9" s="6">
        <v>46158</v>
      </c>
      <c r="Q9" s="223">
        <v>31973000</v>
      </c>
      <c r="T9" s="1" t="s">
        <v>0</v>
      </c>
      <c r="U9" s="110" t="s">
        <v>3</v>
      </c>
      <c r="V9" s="3" t="s">
        <v>7</v>
      </c>
      <c r="AAV9" s="10">
        <v>3000000</v>
      </c>
      <c r="AAZ9" s="4">
        <v>116</v>
      </c>
      <c r="ABA9" s="5" t="s">
        <v>657</v>
      </c>
      <c r="ABB9" s="6">
        <v>46055</v>
      </c>
      <c r="ABC9" s="11" t="s">
        <v>15</v>
      </c>
      <c r="ABD9" s="16" t="s">
        <v>395</v>
      </c>
      <c r="ABE9" s="13" t="s">
        <v>658</v>
      </c>
      <c r="ABF9" s="147">
        <v>2</v>
      </c>
      <c r="ABG9" s="9" t="s">
        <v>886</v>
      </c>
      <c r="ABH9" s="10">
        <v>54000000</v>
      </c>
    </row>
    <row r="10" spans="1:736" ht="15.75" x14ac:dyDescent="0.25">
      <c r="A10" s="4">
        <v>435</v>
      </c>
      <c r="B10" s="5" t="s">
        <v>1329</v>
      </c>
      <c r="C10" s="6">
        <v>46148</v>
      </c>
      <c r="D10" s="11" t="s">
        <v>26</v>
      </c>
      <c r="E10" s="16" t="s">
        <v>578</v>
      </c>
      <c r="F10" s="16" t="s">
        <v>1331</v>
      </c>
      <c r="G10" s="147">
        <v>5</v>
      </c>
      <c r="H10" s="9" t="s">
        <v>886</v>
      </c>
      <c r="I10" s="10">
        <v>1000000</v>
      </c>
      <c r="O10" s="308" t="s">
        <v>619</v>
      </c>
      <c r="P10" s="309"/>
      <c r="Q10" s="226">
        <f>SUM(Q6:Q9)</f>
        <v>39283000</v>
      </c>
      <c r="T10" s="4">
        <v>1</v>
      </c>
      <c r="U10" s="113" t="s">
        <v>9</v>
      </c>
      <c r="V10" s="10">
        <v>69460000</v>
      </c>
      <c r="AAV10" s="10">
        <v>10000000</v>
      </c>
      <c r="AAZ10" s="4">
        <v>143</v>
      </c>
      <c r="ABA10" s="5" t="s">
        <v>722</v>
      </c>
      <c r="ABB10" s="6">
        <v>46063</v>
      </c>
      <c r="ABC10" s="11" t="s">
        <v>15</v>
      </c>
      <c r="ABD10" s="16" t="s">
        <v>446</v>
      </c>
      <c r="ABE10" s="13" t="s">
        <v>723</v>
      </c>
      <c r="ABF10" s="147">
        <v>2</v>
      </c>
      <c r="ABG10" s="9" t="s">
        <v>886</v>
      </c>
      <c r="ABH10" s="10">
        <v>5000000</v>
      </c>
    </row>
    <row r="11" spans="1:736" ht="15.75" x14ac:dyDescent="0.25">
      <c r="A11" s="4">
        <v>449</v>
      </c>
      <c r="B11" s="5" t="s">
        <v>1371</v>
      </c>
      <c r="C11" s="6">
        <v>46151</v>
      </c>
      <c r="D11" s="11" t="s">
        <v>15</v>
      </c>
      <c r="E11" s="16" t="s">
        <v>401</v>
      </c>
      <c r="F11" s="180" t="s">
        <v>810</v>
      </c>
      <c r="G11" s="147">
        <v>5</v>
      </c>
      <c r="H11" s="9" t="s">
        <v>886</v>
      </c>
      <c r="I11" s="10">
        <v>4000000</v>
      </c>
      <c r="K11" s="1" t="s">
        <v>0</v>
      </c>
      <c r="L11" s="110" t="s">
        <v>3</v>
      </c>
      <c r="M11" s="3" t="s">
        <v>7</v>
      </c>
      <c r="O11" s="225"/>
      <c r="P11" s="225"/>
      <c r="Q11" s="225"/>
      <c r="T11" s="4">
        <v>2</v>
      </c>
      <c r="U11" s="113" t="s">
        <v>21</v>
      </c>
      <c r="V11" s="10">
        <v>2987000</v>
      </c>
      <c r="X11" s="1" t="s">
        <v>0</v>
      </c>
      <c r="Y11" s="110" t="s">
        <v>3</v>
      </c>
      <c r="Z11" s="3" t="s">
        <v>7</v>
      </c>
      <c r="AAV11" s="10">
        <v>10000000</v>
      </c>
      <c r="AAZ11" s="4">
        <v>155</v>
      </c>
      <c r="ABA11" s="5" t="s">
        <v>748</v>
      </c>
      <c r="ABB11" s="6">
        <v>46065</v>
      </c>
      <c r="ABC11" s="11" t="s">
        <v>15</v>
      </c>
      <c r="ABD11" s="16" t="s">
        <v>746</v>
      </c>
      <c r="ABE11" s="13" t="s">
        <v>750</v>
      </c>
      <c r="ABF11" s="147">
        <v>2</v>
      </c>
      <c r="ABG11" s="9" t="s">
        <v>799</v>
      </c>
      <c r="ABH11" s="167">
        <v>110000000</v>
      </c>
    </row>
    <row r="12" spans="1:736" ht="15.75" x14ac:dyDescent="0.25">
      <c r="A12" s="4">
        <v>457</v>
      </c>
      <c r="B12" s="5" t="s">
        <v>1393</v>
      </c>
      <c r="C12" s="6">
        <v>46152</v>
      </c>
      <c r="D12" s="11" t="s">
        <v>15</v>
      </c>
      <c r="E12" s="16" t="s">
        <v>199</v>
      </c>
      <c r="F12" s="180" t="s">
        <v>200</v>
      </c>
      <c r="G12" s="147">
        <v>5</v>
      </c>
      <c r="H12" s="9" t="s">
        <v>886</v>
      </c>
      <c r="I12" s="10">
        <v>2000000</v>
      </c>
      <c r="K12" s="4">
        <v>1</v>
      </c>
      <c r="L12" s="113" t="s">
        <v>9</v>
      </c>
      <c r="M12" s="10">
        <f>$I$86</f>
        <v>17703000</v>
      </c>
      <c r="O12" s="306" t="s">
        <v>1592</v>
      </c>
      <c r="P12" s="307"/>
      <c r="Q12" s="307"/>
      <c r="T12" s="4">
        <v>3</v>
      </c>
      <c r="U12" s="6" t="s">
        <v>23</v>
      </c>
      <c r="V12" s="10">
        <v>22082000</v>
      </c>
      <c r="X12" s="4">
        <v>1</v>
      </c>
      <c r="Y12" s="113" t="s">
        <v>9</v>
      </c>
      <c r="Z12" s="10">
        <v>89155500</v>
      </c>
      <c r="AAV12" s="10">
        <v>4000000</v>
      </c>
      <c r="AAZ12" s="4">
        <v>156</v>
      </c>
      <c r="ABA12" s="5" t="s">
        <v>749</v>
      </c>
      <c r="ABB12" s="6">
        <v>46065</v>
      </c>
      <c r="ABC12" s="11" t="s">
        <v>15</v>
      </c>
      <c r="ABD12" s="16" t="s">
        <v>747</v>
      </c>
      <c r="ABE12" s="13" t="s">
        <v>751</v>
      </c>
      <c r="ABF12" s="147">
        <v>2</v>
      </c>
      <c r="ABG12" s="9" t="s">
        <v>799</v>
      </c>
      <c r="ABH12" s="167">
        <v>110000000</v>
      </c>
    </row>
    <row r="13" spans="1:736" ht="15.75" x14ac:dyDescent="0.25">
      <c r="A13" s="4">
        <v>459</v>
      </c>
      <c r="B13" s="5" t="s">
        <v>1399</v>
      </c>
      <c r="C13" s="6">
        <v>46153</v>
      </c>
      <c r="D13" s="11" t="s">
        <v>15</v>
      </c>
      <c r="E13" s="16" t="s">
        <v>545</v>
      </c>
      <c r="F13" s="180" t="s">
        <v>1397</v>
      </c>
      <c r="G13" s="147">
        <v>5</v>
      </c>
      <c r="H13" s="9" t="s">
        <v>886</v>
      </c>
      <c r="I13" s="10">
        <v>6000000</v>
      </c>
      <c r="K13" s="4">
        <v>2</v>
      </c>
      <c r="L13" s="113" t="s">
        <v>21</v>
      </c>
      <c r="M13" s="10">
        <f>$I$169</f>
        <v>6735000</v>
      </c>
      <c r="O13" s="158" t="s">
        <v>1587</v>
      </c>
      <c r="P13" s="158" t="s">
        <v>1588</v>
      </c>
      <c r="Q13" s="158" t="s">
        <v>1589</v>
      </c>
      <c r="T13" s="4">
        <v>4</v>
      </c>
      <c r="U13" s="113" t="s">
        <v>587</v>
      </c>
      <c r="V13" s="10">
        <v>10750000</v>
      </c>
      <c r="X13" s="4">
        <v>2</v>
      </c>
      <c r="Y13" s="113" t="s">
        <v>21</v>
      </c>
      <c r="Z13" s="10">
        <v>27798000</v>
      </c>
      <c r="AAV13" s="10">
        <v>1000000</v>
      </c>
      <c r="AAZ13" s="4">
        <v>157</v>
      </c>
      <c r="ABA13" s="5" t="s">
        <v>752</v>
      </c>
      <c r="ABB13" s="6">
        <v>46067</v>
      </c>
      <c r="ABC13" s="11" t="s">
        <v>15</v>
      </c>
      <c r="ABD13" s="16" t="s">
        <v>754</v>
      </c>
      <c r="ABE13" s="149" t="s">
        <v>755</v>
      </c>
      <c r="ABF13" s="147">
        <v>2</v>
      </c>
      <c r="ABG13" s="9" t="s">
        <v>886</v>
      </c>
      <c r="ABH13" s="10">
        <v>5000000</v>
      </c>
    </row>
    <row r="14" spans="1:736" ht="15.75" x14ac:dyDescent="0.25">
      <c r="A14" s="4">
        <v>463</v>
      </c>
      <c r="B14" s="5" t="s">
        <v>1403</v>
      </c>
      <c r="C14" s="6">
        <v>46153</v>
      </c>
      <c r="D14" s="11" t="s">
        <v>15</v>
      </c>
      <c r="E14" s="16" t="s">
        <v>376</v>
      </c>
      <c r="F14" s="180" t="s">
        <v>1404</v>
      </c>
      <c r="G14" s="147">
        <v>5</v>
      </c>
      <c r="H14" s="9" t="s">
        <v>886</v>
      </c>
      <c r="I14" s="10">
        <v>6000000</v>
      </c>
      <c r="K14" s="4">
        <v>3</v>
      </c>
      <c r="L14" s="6" t="s">
        <v>23</v>
      </c>
      <c r="M14" s="10">
        <f>$I$213</f>
        <v>27900000</v>
      </c>
      <c r="O14" s="5" t="s">
        <v>1567</v>
      </c>
      <c r="P14" s="6">
        <v>46167</v>
      </c>
      <c r="Q14" s="10">
        <v>18000000</v>
      </c>
      <c r="T14" s="4">
        <v>5</v>
      </c>
      <c r="U14" s="113" t="s">
        <v>629</v>
      </c>
      <c r="V14" s="111">
        <v>35000000</v>
      </c>
      <c r="X14" s="4">
        <v>3</v>
      </c>
      <c r="Y14" s="6" t="s">
        <v>23</v>
      </c>
      <c r="Z14" s="10">
        <v>79350000</v>
      </c>
      <c r="AAV14" s="10">
        <v>4000000</v>
      </c>
      <c r="AAZ14" s="4">
        <v>158</v>
      </c>
      <c r="ABA14" s="5" t="s">
        <v>753</v>
      </c>
      <c r="ABB14" s="6">
        <v>46067</v>
      </c>
      <c r="ABC14" s="11" t="s">
        <v>15</v>
      </c>
      <c r="ABD14" s="16" t="s">
        <v>549</v>
      </c>
      <c r="ABE14" s="149" t="s">
        <v>756</v>
      </c>
      <c r="ABF14" s="147">
        <v>2</v>
      </c>
      <c r="ABG14" s="9" t="s">
        <v>886</v>
      </c>
      <c r="ABH14" s="10">
        <v>7000000</v>
      </c>
    </row>
    <row r="15" spans="1:736" ht="15.75" x14ac:dyDescent="0.25">
      <c r="A15" s="4">
        <v>472</v>
      </c>
      <c r="B15" s="5" t="s">
        <v>1437</v>
      </c>
      <c r="C15" s="6">
        <v>46155</v>
      </c>
      <c r="D15" s="11" t="s">
        <v>26</v>
      </c>
      <c r="E15" s="16" t="s">
        <v>323</v>
      </c>
      <c r="F15" s="16" t="s">
        <v>1435</v>
      </c>
      <c r="G15" s="147">
        <v>5</v>
      </c>
      <c r="H15" s="9" t="s">
        <v>886</v>
      </c>
      <c r="I15" s="10">
        <v>5000000</v>
      </c>
      <c r="K15" s="4">
        <v>4</v>
      </c>
      <c r="L15" s="113" t="s">
        <v>587</v>
      </c>
      <c r="M15" s="10">
        <f>I239</f>
        <v>11200000</v>
      </c>
      <c r="O15" s="16"/>
      <c r="P15" s="16"/>
      <c r="Q15" s="16"/>
      <c r="T15" s="4">
        <v>5</v>
      </c>
      <c r="U15" s="184" t="s">
        <v>1365</v>
      </c>
      <c r="V15" s="111">
        <v>20000000</v>
      </c>
      <c r="X15" s="4">
        <v>4</v>
      </c>
      <c r="Y15" s="113" t="s">
        <v>587</v>
      </c>
      <c r="Z15" s="10">
        <v>11150000</v>
      </c>
      <c r="AAV15" s="10">
        <v>5000000</v>
      </c>
      <c r="AAZ15" s="4">
        <v>162</v>
      </c>
      <c r="ABA15" s="5" t="s">
        <v>764</v>
      </c>
      <c r="ABB15" s="6">
        <v>46067</v>
      </c>
      <c r="ABC15" s="11" t="s">
        <v>15</v>
      </c>
      <c r="ABD15" s="16" t="s">
        <v>526</v>
      </c>
      <c r="ABE15" s="149" t="s">
        <v>766</v>
      </c>
      <c r="ABF15" s="147">
        <v>2</v>
      </c>
      <c r="ABG15" s="9" t="s">
        <v>886</v>
      </c>
      <c r="ABH15" s="10">
        <v>7000000</v>
      </c>
    </row>
    <row r="16" spans="1:736" ht="15.75" x14ac:dyDescent="0.25">
      <c r="A16" s="4">
        <v>476</v>
      </c>
      <c r="B16" s="5" t="s">
        <v>1444</v>
      </c>
      <c r="C16" s="6">
        <v>46156</v>
      </c>
      <c r="D16" s="11" t="s">
        <v>26</v>
      </c>
      <c r="E16" s="16" t="s">
        <v>323</v>
      </c>
      <c r="F16" s="16" t="s">
        <v>1443</v>
      </c>
      <c r="G16" s="147">
        <v>5</v>
      </c>
      <c r="H16" s="9" t="s">
        <v>886</v>
      </c>
      <c r="I16" s="10">
        <v>2050000</v>
      </c>
      <c r="K16" s="4">
        <v>5</v>
      </c>
      <c r="L16" s="113"/>
      <c r="M16" s="111"/>
      <c r="O16" s="308" t="s">
        <v>619</v>
      </c>
      <c r="P16" s="309"/>
      <c r="Q16" s="227">
        <f>SUM(Q14:Q15)</f>
        <v>18000000</v>
      </c>
      <c r="T16" s="301" t="s">
        <v>619</v>
      </c>
      <c r="U16" s="301"/>
      <c r="V16" s="10">
        <f>SUM(V10:V15)</f>
        <v>160279000</v>
      </c>
      <c r="X16" s="301" t="s">
        <v>619</v>
      </c>
      <c r="Y16" s="301"/>
      <c r="Z16" s="10">
        <f>SUM(Z12:Z15)</f>
        <v>207453500</v>
      </c>
      <c r="AAO16" s="10">
        <v>7000000</v>
      </c>
      <c r="AAS16" s="4">
        <v>163</v>
      </c>
      <c r="AAT16" s="5" t="s">
        <v>765</v>
      </c>
      <c r="AAU16" s="6">
        <v>46067</v>
      </c>
      <c r="AAV16" s="11" t="s">
        <v>15</v>
      </c>
      <c r="AAW16" s="16" t="s">
        <v>526</v>
      </c>
      <c r="AAX16" s="149" t="s">
        <v>766</v>
      </c>
      <c r="AAY16" s="147">
        <v>2</v>
      </c>
      <c r="AAZ16" s="9" t="s">
        <v>886</v>
      </c>
      <c r="ABA16" s="10">
        <v>8000000</v>
      </c>
    </row>
    <row r="17" spans="1:739" ht="15.75" x14ac:dyDescent="0.25">
      <c r="A17" s="4">
        <v>478</v>
      </c>
      <c r="B17" s="5" t="s">
        <v>1448</v>
      </c>
      <c r="C17" s="6">
        <v>46156</v>
      </c>
      <c r="D17" s="11" t="s">
        <v>26</v>
      </c>
      <c r="E17" s="16" t="s">
        <v>323</v>
      </c>
      <c r="F17" s="16" t="s">
        <v>1449</v>
      </c>
      <c r="G17" s="147">
        <v>5</v>
      </c>
      <c r="H17" s="9" t="s">
        <v>886</v>
      </c>
      <c r="I17" s="10">
        <v>260000</v>
      </c>
      <c r="K17" s="4">
        <v>6</v>
      </c>
      <c r="L17" s="113"/>
      <c r="M17" s="111"/>
      <c r="AAO17" s="10">
        <v>5000000</v>
      </c>
      <c r="AAS17" s="4">
        <v>165</v>
      </c>
      <c r="AAT17" s="5" t="s">
        <v>769</v>
      </c>
      <c r="AAU17" s="6">
        <v>46068</v>
      </c>
      <c r="AAV17" s="11" t="s">
        <v>15</v>
      </c>
      <c r="AAW17" s="16" t="s">
        <v>460</v>
      </c>
      <c r="AAX17" s="13" t="s">
        <v>770</v>
      </c>
      <c r="AAY17" s="147">
        <v>2</v>
      </c>
      <c r="AAZ17" s="9" t="s">
        <v>886</v>
      </c>
      <c r="ABA17" s="10">
        <v>1000000</v>
      </c>
    </row>
    <row r="18" spans="1:739" ht="15.75" x14ac:dyDescent="0.25">
      <c r="A18" s="4">
        <v>479</v>
      </c>
      <c r="B18" s="5" t="s">
        <v>1451</v>
      </c>
      <c r="C18" s="6">
        <v>46158</v>
      </c>
      <c r="D18" s="11" t="s">
        <v>15</v>
      </c>
      <c r="E18" s="16" t="s">
        <v>366</v>
      </c>
      <c r="F18" s="180" t="s">
        <v>1452</v>
      </c>
      <c r="G18" s="147">
        <v>5</v>
      </c>
      <c r="H18" s="9" t="s">
        <v>886</v>
      </c>
      <c r="I18" s="10">
        <v>6000000</v>
      </c>
      <c r="K18" s="301" t="s">
        <v>619</v>
      </c>
      <c r="L18" s="301"/>
      <c r="M18" s="10">
        <f>SUM(M12:M17)</f>
        <v>63538000</v>
      </c>
      <c r="T18" s="1" t="s">
        <v>633</v>
      </c>
      <c r="U18" s="110" t="s">
        <v>628</v>
      </c>
      <c r="V18" s="3" t="s">
        <v>634</v>
      </c>
      <c r="X18" s="1" t="s">
        <v>633</v>
      </c>
      <c r="Y18" s="110" t="s">
        <v>628</v>
      </c>
      <c r="Z18" s="3" t="s">
        <v>634</v>
      </c>
      <c r="AAV18" s="10">
        <v>7000000</v>
      </c>
      <c r="AAZ18" s="4">
        <v>174</v>
      </c>
      <c r="ABA18" s="5" t="s">
        <v>790</v>
      </c>
      <c r="ABB18" s="6">
        <v>46069</v>
      </c>
      <c r="ABC18" s="11" t="s">
        <v>15</v>
      </c>
      <c r="ABD18" s="16" t="s">
        <v>792</v>
      </c>
      <c r="ABE18" s="13" t="s">
        <v>793</v>
      </c>
      <c r="ABF18" s="147">
        <v>2</v>
      </c>
      <c r="ABG18" s="9" t="s">
        <v>798</v>
      </c>
      <c r="ABH18" s="167">
        <v>135000000</v>
      </c>
    </row>
    <row r="19" spans="1:739" x14ac:dyDescent="0.25">
      <c r="A19" s="4">
        <v>484</v>
      </c>
      <c r="B19" s="5" t="s">
        <v>1566</v>
      </c>
      <c r="C19" s="6">
        <v>46158</v>
      </c>
      <c r="D19" s="11" t="s">
        <v>26</v>
      </c>
      <c r="E19" s="164" t="s">
        <v>323</v>
      </c>
      <c r="F19" s="16" t="s">
        <v>1467</v>
      </c>
      <c r="G19" s="147">
        <v>5</v>
      </c>
      <c r="H19" s="9" t="s">
        <v>886</v>
      </c>
      <c r="I19" s="223">
        <v>31973000</v>
      </c>
      <c r="O19" s="310" t="s">
        <v>1590</v>
      </c>
      <c r="P19" s="311"/>
      <c r="Q19" s="228">
        <f>Q10-Q16</f>
        <v>21283000</v>
      </c>
      <c r="T19" s="112">
        <f>V6</f>
        <v>163335000</v>
      </c>
      <c r="U19" s="111">
        <f>V16</f>
        <v>160279000</v>
      </c>
      <c r="V19" s="115">
        <f>SUM(T19-U19)</f>
        <v>3056000</v>
      </c>
      <c r="X19" s="112">
        <f>Z6+Z7</f>
        <v>207453500</v>
      </c>
      <c r="Y19" s="111">
        <f>Z16</f>
        <v>207453500</v>
      </c>
      <c r="Z19" s="115" t="s">
        <v>1361</v>
      </c>
      <c r="AAV19" s="10">
        <v>7000000</v>
      </c>
      <c r="AAZ19" s="4">
        <v>175</v>
      </c>
      <c r="ABA19" s="5" t="s">
        <v>791</v>
      </c>
      <c r="ABB19" s="6">
        <v>46069</v>
      </c>
      <c r="ABC19" s="11" t="s">
        <v>15</v>
      </c>
      <c r="ABD19" s="16" t="s">
        <v>792</v>
      </c>
      <c r="ABE19" s="114" t="s">
        <v>875</v>
      </c>
      <c r="ABF19" s="147">
        <v>2</v>
      </c>
      <c r="ABG19" s="9" t="s">
        <v>886</v>
      </c>
      <c r="ABH19" s="10">
        <v>5000000</v>
      </c>
    </row>
    <row r="20" spans="1:739" ht="17.25" customHeight="1" thickBot="1" x14ac:dyDescent="0.3">
      <c r="A20" s="4">
        <v>486</v>
      </c>
      <c r="B20" s="5" t="s">
        <v>1472</v>
      </c>
      <c r="C20" s="6">
        <v>46158</v>
      </c>
      <c r="D20" s="11" t="s">
        <v>15</v>
      </c>
      <c r="E20" s="16" t="s">
        <v>181</v>
      </c>
      <c r="F20" s="180" t="s">
        <v>182</v>
      </c>
      <c r="G20" s="147">
        <v>5</v>
      </c>
      <c r="H20" s="9" t="s">
        <v>886</v>
      </c>
      <c r="I20" s="10">
        <v>10000000</v>
      </c>
      <c r="K20" s="1" t="s">
        <v>633</v>
      </c>
      <c r="L20" s="110" t="s">
        <v>628</v>
      </c>
      <c r="M20" s="3" t="s">
        <v>634</v>
      </c>
      <c r="S20" s="239"/>
      <c r="T20" s="239"/>
      <c r="U20" s="239"/>
      <c r="V20" s="239"/>
      <c r="W20" s="239"/>
      <c r="X20" s="239"/>
      <c r="Y20" s="239"/>
      <c r="Z20" s="239"/>
      <c r="AA20" s="239"/>
      <c r="AAS20" s="10">
        <v>8000000</v>
      </c>
      <c r="AAW20" s="4">
        <v>180</v>
      </c>
      <c r="AAX20" s="5" t="s">
        <v>808</v>
      </c>
      <c r="AAY20" s="6">
        <v>46070</v>
      </c>
      <c r="AAZ20" s="11" t="s">
        <v>15</v>
      </c>
      <c r="ABA20" s="16" t="s">
        <v>401</v>
      </c>
      <c r="ABB20" s="13" t="s">
        <v>810</v>
      </c>
      <c r="ABC20" s="147">
        <v>2</v>
      </c>
      <c r="ABD20" s="9" t="s">
        <v>886</v>
      </c>
      <c r="ABE20" s="10">
        <v>6000000</v>
      </c>
    </row>
    <row r="21" spans="1:739" ht="16.5" thickTop="1" x14ac:dyDescent="0.25">
      <c r="A21" s="4">
        <v>488</v>
      </c>
      <c r="B21" s="5" t="s">
        <v>1476</v>
      </c>
      <c r="C21" s="6">
        <v>46158</v>
      </c>
      <c r="D21" s="11" t="s">
        <v>15</v>
      </c>
      <c r="E21" s="16" t="s">
        <v>1460</v>
      </c>
      <c r="F21" s="16" t="s">
        <v>1477</v>
      </c>
      <c r="G21" s="147">
        <v>5</v>
      </c>
      <c r="H21" s="9" t="s">
        <v>799</v>
      </c>
      <c r="I21" s="10">
        <v>100000000</v>
      </c>
      <c r="K21" s="112">
        <f>M6</f>
        <v>134783000</v>
      </c>
      <c r="L21" s="111">
        <f>M18</f>
        <v>63538000</v>
      </c>
      <c r="M21" s="115">
        <f>SUM(K21-L21)</f>
        <v>71245000</v>
      </c>
      <c r="AAS21" s="10">
        <v>1000000</v>
      </c>
      <c r="AAW21" s="4">
        <v>181</v>
      </c>
      <c r="AAX21" s="5" t="s">
        <v>809</v>
      </c>
      <c r="AAY21" s="6">
        <v>46070</v>
      </c>
      <c r="AAZ21" s="11" t="s">
        <v>15</v>
      </c>
      <c r="ABA21" s="16" t="s">
        <v>337</v>
      </c>
      <c r="ABB21" s="13" t="s">
        <v>811</v>
      </c>
      <c r="ABC21" s="147">
        <v>2</v>
      </c>
      <c r="ABD21" s="9" t="s">
        <v>886</v>
      </c>
      <c r="ABE21" s="10">
        <v>3000000</v>
      </c>
    </row>
    <row r="22" spans="1:739" ht="15.75" x14ac:dyDescent="0.25">
      <c r="A22" s="4">
        <v>489</v>
      </c>
      <c r="B22" s="5" t="s">
        <v>1484</v>
      </c>
      <c r="C22" s="6">
        <v>46158</v>
      </c>
      <c r="D22" s="11" t="s">
        <v>15</v>
      </c>
      <c r="E22" s="16" t="s">
        <v>446</v>
      </c>
      <c r="F22" s="180" t="s">
        <v>723</v>
      </c>
      <c r="G22" s="147">
        <v>5</v>
      </c>
      <c r="H22" s="9" t="s">
        <v>886</v>
      </c>
      <c r="I22" s="10">
        <v>2000000</v>
      </c>
      <c r="J22" s="183"/>
      <c r="T22" s="302" t="s">
        <v>1358</v>
      </c>
      <c r="U22" s="302"/>
      <c r="V22" s="302"/>
      <c r="X22" s="302" t="s">
        <v>1359</v>
      </c>
      <c r="Y22" s="302"/>
      <c r="Z22" s="302"/>
      <c r="AAY22" s="10">
        <v>4000000</v>
      </c>
      <c r="ABC22" s="4">
        <v>196</v>
      </c>
      <c r="ABD22" s="5" t="s">
        <v>843</v>
      </c>
      <c r="ABE22" s="6">
        <v>46074</v>
      </c>
      <c r="ABF22" s="11" t="s">
        <v>15</v>
      </c>
      <c r="ABG22" s="16" t="s">
        <v>144</v>
      </c>
      <c r="ABH22" s="13" t="s">
        <v>145</v>
      </c>
      <c r="ABI22" s="147">
        <v>2</v>
      </c>
      <c r="ABJ22" s="9" t="s">
        <v>886</v>
      </c>
      <c r="ABK22" s="10">
        <v>10000000</v>
      </c>
    </row>
    <row r="23" spans="1:739" ht="15.75" x14ac:dyDescent="0.25">
      <c r="A23" s="4">
        <v>490</v>
      </c>
      <c r="B23" s="5" t="s">
        <v>1485</v>
      </c>
      <c r="C23" s="6">
        <v>46158</v>
      </c>
      <c r="D23" s="11" t="s">
        <v>15</v>
      </c>
      <c r="E23" s="16" t="s">
        <v>446</v>
      </c>
      <c r="F23" s="180" t="s">
        <v>723</v>
      </c>
      <c r="G23" s="147">
        <v>5</v>
      </c>
      <c r="H23" s="9" t="s">
        <v>886</v>
      </c>
      <c r="I23" s="10">
        <v>1000000</v>
      </c>
      <c r="J23" s="183"/>
      <c r="T23" s="1" t="s">
        <v>0</v>
      </c>
      <c r="U23" s="110" t="s">
        <v>3</v>
      </c>
      <c r="V23" s="3" t="s">
        <v>7</v>
      </c>
      <c r="X23" s="1" t="s">
        <v>0</v>
      </c>
      <c r="Y23" s="110" t="s">
        <v>3</v>
      </c>
      <c r="Z23" s="3" t="s">
        <v>7</v>
      </c>
      <c r="AAY23" s="10">
        <v>5000000</v>
      </c>
      <c r="ABC23" s="4">
        <v>197</v>
      </c>
      <c r="ABD23" s="5" t="s">
        <v>844</v>
      </c>
      <c r="ABE23" s="6">
        <v>46074</v>
      </c>
      <c r="ABF23" s="11" t="s">
        <v>15</v>
      </c>
      <c r="ABG23" s="16" t="s">
        <v>845</v>
      </c>
      <c r="ABH23" s="13" t="s">
        <v>148</v>
      </c>
      <c r="ABI23" s="147">
        <v>2</v>
      </c>
      <c r="ABJ23" s="9" t="s">
        <v>886</v>
      </c>
      <c r="ABK23" s="10">
        <v>10000000</v>
      </c>
    </row>
    <row r="24" spans="1:739" ht="15.75" x14ac:dyDescent="0.25">
      <c r="A24" s="4">
        <v>491</v>
      </c>
      <c r="B24" s="5" t="s">
        <v>1486</v>
      </c>
      <c r="C24" s="6">
        <v>46158</v>
      </c>
      <c r="D24" s="11" t="s">
        <v>15</v>
      </c>
      <c r="E24" s="16" t="s">
        <v>1487</v>
      </c>
      <c r="F24" s="180" t="s">
        <v>1488</v>
      </c>
      <c r="G24" s="147">
        <v>5</v>
      </c>
      <c r="H24" s="9" t="s">
        <v>886</v>
      </c>
      <c r="I24" s="10">
        <v>3000000</v>
      </c>
      <c r="J24" s="183"/>
      <c r="T24" s="4">
        <v>1</v>
      </c>
      <c r="U24" s="6" t="s">
        <v>627</v>
      </c>
      <c r="V24" s="112">
        <v>39000000</v>
      </c>
      <c r="X24" s="4">
        <v>1</v>
      </c>
      <c r="Y24" s="6" t="s">
        <v>627</v>
      </c>
      <c r="Z24" s="112">
        <v>51500000</v>
      </c>
      <c r="AAY24" s="10">
        <v>54000000</v>
      </c>
      <c r="ABC24" s="4">
        <v>202</v>
      </c>
      <c r="ABD24" s="5" t="s">
        <v>853</v>
      </c>
      <c r="ABE24" s="6">
        <v>46074</v>
      </c>
      <c r="ABF24" s="11" t="s">
        <v>15</v>
      </c>
      <c r="ABG24" s="16" t="s">
        <v>477</v>
      </c>
      <c r="ABH24" s="13" t="s">
        <v>854</v>
      </c>
      <c r="ABI24" s="147">
        <v>2</v>
      </c>
      <c r="ABJ24" s="9" t="s">
        <v>886</v>
      </c>
      <c r="ABK24" s="10">
        <v>4000000</v>
      </c>
    </row>
    <row r="25" spans="1:739" ht="15.75" x14ac:dyDescent="0.25">
      <c r="A25" s="4">
        <v>497</v>
      </c>
      <c r="B25" s="5" t="s">
        <v>1497</v>
      </c>
      <c r="C25" s="6">
        <v>46159</v>
      </c>
      <c r="D25" s="11" t="s">
        <v>15</v>
      </c>
      <c r="E25" s="16" t="s">
        <v>444</v>
      </c>
      <c r="F25" s="180" t="s">
        <v>1498</v>
      </c>
      <c r="G25" s="147">
        <v>5</v>
      </c>
      <c r="H25" s="9" t="s">
        <v>886</v>
      </c>
      <c r="I25" s="10">
        <v>4000000</v>
      </c>
      <c r="T25" s="4">
        <v>2</v>
      </c>
      <c r="U25" s="6" t="s">
        <v>628</v>
      </c>
      <c r="V25" s="111">
        <v>39605500</v>
      </c>
      <c r="X25" s="4">
        <v>2</v>
      </c>
      <c r="Y25" s="6" t="s">
        <v>628</v>
      </c>
      <c r="Z25" s="111">
        <v>77269000</v>
      </c>
      <c r="AAV25" s="10">
        <v>5000000</v>
      </c>
      <c r="AAZ25" s="4">
        <v>208</v>
      </c>
      <c r="ABA25" s="5" t="s">
        <v>861</v>
      </c>
      <c r="ABB25" s="6">
        <v>46075</v>
      </c>
      <c r="ABC25" s="11" t="s">
        <v>15</v>
      </c>
      <c r="ABD25" s="16" t="s">
        <v>48</v>
      </c>
      <c r="ABE25" s="13" t="s">
        <v>49</v>
      </c>
      <c r="ABF25" s="147">
        <v>2</v>
      </c>
      <c r="ABG25" s="9" t="s">
        <v>886</v>
      </c>
      <c r="ABH25" s="10">
        <v>1000000</v>
      </c>
    </row>
    <row r="26" spans="1:739" ht="15.75" x14ac:dyDescent="0.25">
      <c r="A26" s="4">
        <v>499</v>
      </c>
      <c r="B26" s="5" t="s">
        <v>1505</v>
      </c>
      <c r="C26" s="6">
        <v>46159</v>
      </c>
      <c r="D26" s="11" t="s">
        <v>15</v>
      </c>
      <c r="E26" s="16" t="s">
        <v>471</v>
      </c>
      <c r="F26" s="180" t="s">
        <v>1504</v>
      </c>
      <c r="G26" s="147">
        <v>5</v>
      </c>
      <c r="H26" s="9" t="s">
        <v>886</v>
      </c>
      <c r="I26" s="10">
        <v>500000</v>
      </c>
      <c r="AAV26" s="142">
        <f>SUM(AAY7:AAY25)</f>
        <v>63092144</v>
      </c>
      <c r="AAZ26" s="4">
        <v>214</v>
      </c>
      <c r="ABA26" s="5" t="s">
        <v>881</v>
      </c>
      <c r="ABB26" s="6">
        <v>46076</v>
      </c>
      <c r="ABC26" s="11" t="s">
        <v>15</v>
      </c>
      <c r="ABD26" s="16" t="s">
        <v>455</v>
      </c>
      <c r="ABE26" s="13" t="s">
        <v>882</v>
      </c>
      <c r="ABF26" s="147">
        <v>2</v>
      </c>
      <c r="ABG26" s="9" t="s">
        <v>886</v>
      </c>
      <c r="ABH26" s="10">
        <v>4000000</v>
      </c>
    </row>
    <row r="27" spans="1:739" ht="15.75" x14ac:dyDescent="0.25">
      <c r="A27" s="4">
        <v>503</v>
      </c>
      <c r="B27" s="5" t="s">
        <v>1515</v>
      </c>
      <c r="C27" s="6">
        <v>46160</v>
      </c>
      <c r="D27" s="11" t="s">
        <v>15</v>
      </c>
      <c r="E27" s="16" t="s">
        <v>374</v>
      </c>
      <c r="F27" s="180" t="s">
        <v>1326</v>
      </c>
      <c r="G27" s="147">
        <v>5</v>
      </c>
      <c r="H27" s="9" t="s">
        <v>886</v>
      </c>
      <c r="I27" s="10">
        <v>3000000</v>
      </c>
      <c r="T27" s="1" t="s">
        <v>0</v>
      </c>
      <c r="U27" s="110" t="s">
        <v>3</v>
      </c>
      <c r="V27" s="3" t="s">
        <v>7</v>
      </c>
      <c r="X27" s="1" t="s">
        <v>0</v>
      </c>
      <c r="Y27" s="110" t="s">
        <v>3</v>
      </c>
      <c r="Z27" s="3" t="s">
        <v>7</v>
      </c>
      <c r="AAZ27" s="4">
        <v>218</v>
      </c>
      <c r="ABA27" s="5" t="s">
        <v>890</v>
      </c>
      <c r="ABB27" s="6">
        <v>46078</v>
      </c>
      <c r="ABC27" s="11" t="s">
        <v>15</v>
      </c>
      <c r="ABD27" s="16" t="s">
        <v>891</v>
      </c>
      <c r="ABE27" s="13" t="s">
        <v>892</v>
      </c>
      <c r="ABF27" s="147">
        <v>2</v>
      </c>
      <c r="ABG27" s="9" t="s">
        <v>886</v>
      </c>
      <c r="ABH27" s="10">
        <v>5000000</v>
      </c>
    </row>
    <row r="28" spans="1:739" ht="15.75" x14ac:dyDescent="0.25">
      <c r="A28" s="4">
        <v>506</v>
      </c>
      <c r="B28" s="5" t="s">
        <v>1524</v>
      </c>
      <c r="C28" s="6">
        <v>46161</v>
      </c>
      <c r="D28" s="11" t="s">
        <v>15</v>
      </c>
      <c r="E28" s="16" t="s">
        <v>477</v>
      </c>
      <c r="F28" s="180" t="s">
        <v>854</v>
      </c>
      <c r="G28" s="147">
        <v>5</v>
      </c>
      <c r="H28" s="9" t="s">
        <v>886</v>
      </c>
      <c r="I28" s="10">
        <v>2000000</v>
      </c>
      <c r="T28" s="4">
        <v>1</v>
      </c>
      <c r="U28" s="113" t="s">
        <v>9</v>
      </c>
      <c r="V28" s="10">
        <v>15176000</v>
      </c>
      <c r="X28" s="4">
        <v>1</v>
      </c>
      <c r="Y28" s="113" t="s">
        <v>9</v>
      </c>
      <c r="Z28" s="10">
        <v>45399000</v>
      </c>
      <c r="AAZ28" s="4">
        <v>220</v>
      </c>
      <c r="ABA28" s="5" t="s">
        <v>895</v>
      </c>
      <c r="ABB28" s="6">
        <v>46079</v>
      </c>
      <c r="ABC28" s="11" t="s">
        <v>15</v>
      </c>
      <c r="ABD28" s="16" t="s">
        <v>896</v>
      </c>
      <c r="ABE28" s="13" t="s">
        <v>897</v>
      </c>
      <c r="ABF28" s="147">
        <v>2</v>
      </c>
      <c r="ABG28" s="9" t="s">
        <v>886</v>
      </c>
      <c r="ABH28" s="10">
        <v>7000000</v>
      </c>
    </row>
    <row r="29" spans="1:739" ht="15.75" x14ac:dyDescent="0.25">
      <c r="A29" s="4">
        <v>509</v>
      </c>
      <c r="B29" s="5" t="s">
        <v>1531</v>
      </c>
      <c r="C29" s="6">
        <v>46161</v>
      </c>
      <c r="D29" s="11" t="s">
        <v>15</v>
      </c>
      <c r="E29" s="16" t="s">
        <v>453</v>
      </c>
      <c r="F29" s="180" t="s">
        <v>1530</v>
      </c>
      <c r="G29" s="147">
        <v>5</v>
      </c>
      <c r="H29" s="9" t="s">
        <v>886</v>
      </c>
      <c r="I29" s="10">
        <v>2000000</v>
      </c>
      <c r="T29" s="4">
        <v>2</v>
      </c>
      <c r="U29" s="113" t="s">
        <v>21</v>
      </c>
      <c r="V29" s="10">
        <v>3817500</v>
      </c>
      <c r="X29" s="4">
        <v>2</v>
      </c>
      <c r="Y29" s="113" t="s">
        <v>21</v>
      </c>
      <c r="Z29" s="10">
        <v>5470000</v>
      </c>
      <c r="AAZ29" s="4">
        <v>221</v>
      </c>
      <c r="ABA29" s="5" t="s">
        <v>905</v>
      </c>
      <c r="ABB29" s="6">
        <v>46081</v>
      </c>
      <c r="ABC29" s="11" t="s">
        <v>15</v>
      </c>
      <c r="ABD29" s="16" t="s">
        <v>904</v>
      </c>
      <c r="ABE29" s="13" t="s">
        <v>908</v>
      </c>
      <c r="ABF29" s="147">
        <v>2</v>
      </c>
      <c r="ABG29" s="9" t="s">
        <v>799</v>
      </c>
      <c r="ABH29" s="167">
        <v>110000000</v>
      </c>
    </row>
    <row r="30" spans="1:739" ht="15.75" x14ac:dyDescent="0.25">
      <c r="A30" s="4">
        <v>510</v>
      </c>
      <c r="B30" s="5" t="s">
        <v>1532</v>
      </c>
      <c r="C30" s="6">
        <v>46162</v>
      </c>
      <c r="D30" s="11" t="s">
        <v>15</v>
      </c>
      <c r="E30" s="16" t="s">
        <v>988</v>
      </c>
      <c r="F30" s="180" t="s">
        <v>811</v>
      </c>
      <c r="G30" s="147">
        <v>5</v>
      </c>
      <c r="H30" s="9" t="s">
        <v>886</v>
      </c>
      <c r="I30" s="10">
        <v>4000000</v>
      </c>
      <c r="T30" s="4">
        <v>3</v>
      </c>
      <c r="U30" s="6" t="s">
        <v>23</v>
      </c>
      <c r="V30" s="10">
        <v>8712000</v>
      </c>
      <c r="X30" s="4">
        <v>3</v>
      </c>
      <c r="Y30" s="6" t="s">
        <v>23</v>
      </c>
      <c r="Z30" s="10">
        <v>14500000</v>
      </c>
      <c r="AAZ30" s="4">
        <v>222</v>
      </c>
      <c r="ABA30" s="5" t="s">
        <v>906</v>
      </c>
      <c r="ABB30" s="6">
        <v>46081</v>
      </c>
      <c r="ABC30" s="11" t="s">
        <v>15</v>
      </c>
      <c r="ABD30" s="16" t="s">
        <v>903</v>
      </c>
      <c r="ABE30" s="13" t="s">
        <v>910</v>
      </c>
      <c r="ABF30" s="147">
        <v>2</v>
      </c>
      <c r="ABG30" s="9" t="s">
        <v>799</v>
      </c>
      <c r="ABH30" s="167">
        <v>110000000</v>
      </c>
    </row>
    <row r="31" spans="1:739" ht="15.75" x14ac:dyDescent="0.25">
      <c r="A31" s="4">
        <v>518</v>
      </c>
      <c r="B31" s="5" t="s">
        <v>1550</v>
      </c>
      <c r="C31" s="6">
        <v>46163</v>
      </c>
      <c r="D31" s="11" t="s">
        <v>15</v>
      </c>
      <c r="E31" s="16" t="s">
        <v>37</v>
      </c>
      <c r="F31" s="180" t="s">
        <v>38</v>
      </c>
      <c r="G31" s="147">
        <v>5</v>
      </c>
      <c r="H31" s="9" t="s">
        <v>886</v>
      </c>
      <c r="I31" s="10">
        <v>3000000</v>
      </c>
      <c r="T31" s="4">
        <v>4</v>
      </c>
      <c r="U31" s="113" t="s">
        <v>587</v>
      </c>
      <c r="V31" s="10">
        <v>11900000</v>
      </c>
      <c r="X31" s="4">
        <v>4</v>
      </c>
      <c r="Y31" s="113" t="s">
        <v>587</v>
      </c>
      <c r="Z31" s="10">
        <v>11900000</v>
      </c>
      <c r="AAZ31" s="4">
        <v>223</v>
      </c>
      <c r="ABA31" s="5" t="s">
        <v>907</v>
      </c>
      <c r="ABB31" s="6">
        <v>46081</v>
      </c>
      <c r="ABC31" s="11" t="s">
        <v>15</v>
      </c>
      <c r="ABD31" s="16" t="s">
        <v>904</v>
      </c>
      <c r="ABE31" s="13" t="s">
        <v>909</v>
      </c>
      <c r="ABF31" s="147">
        <v>2</v>
      </c>
      <c r="ABG31" s="9" t="s">
        <v>799</v>
      </c>
      <c r="ABH31" s="167">
        <v>110000000</v>
      </c>
    </row>
    <row r="32" spans="1:739" ht="15.75" x14ac:dyDescent="0.25">
      <c r="A32" s="4">
        <v>520</v>
      </c>
      <c r="B32" s="5" t="s">
        <v>1554</v>
      </c>
      <c r="C32" s="6">
        <v>46165</v>
      </c>
      <c r="D32" s="11" t="s">
        <v>15</v>
      </c>
      <c r="E32" s="16" t="s">
        <v>74</v>
      </c>
      <c r="F32" s="180" t="s">
        <v>75</v>
      </c>
      <c r="G32" s="147">
        <v>5</v>
      </c>
      <c r="H32" s="9" t="s">
        <v>886</v>
      </c>
      <c r="I32" s="10">
        <v>2000000</v>
      </c>
      <c r="T32" s="301" t="s">
        <v>619</v>
      </c>
      <c r="U32" s="301"/>
      <c r="V32" s="10">
        <f>SUM(V28:V31)</f>
        <v>39605500</v>
      </c>
      <c r="X32" s="301" t="s">
        <v>619</v>
      </c>
      <c r="Y32" s="301"/>
      <c r="Z32" s="10">
        <f>SUM(Z28:Z31)</f>
        <v>77269000</v>
      </c>
    </row>
    <row r="33" spans="1:27" ht="15.75" x14ac:dyDescent="0.25">
      <c r="A33" s="4">
        <v>525</v>
      </c>
      <c r="B33" s="5" t="s">
        <v>1565</v>
      </c>
      <c r="C33" s="6">
        <v>46167</v>
      </c>
      <c r="D33" s="11" t="s">
        <v>15</v>
      </c>
      <c r="E33" s="16" t="s">
        <v>463</v>
      </c>
      <c r="F33" s="180" t="s">
        <v>1102</v>
      </c>
      <c r="G33" s="147">
        <v>5</v>
      </c>
      <c r="H33" s="9" t="s">
        <v>886</v>
      </c>
      <c r="I33" s="10">
        <v>5000000</v>
      </c>
    </row>
    <row r="34" spans="1:27" ht="15.75" x14ac:dyDescent="0.25">
      <c r="A34" s="4">
        <v>527</v>
      </c>
      <c r="B34" s="5" t="s">
        <v>1574</v>
      </c>
      <c r="C34" s="6">
        <v>46173</v>
      </c>
      <c r="D34" s="11" t="s">
        <v>15</v>
      </c>
      <c r="E34" s="16" t="s">
        <v>334</v>
      </c>
      <c r="F34" s="180" t="s">
        <v>1575</v>
      </c>
      <c r="G34" s="147">
        <v>5</v>
      </c>
      <c r="H34" s="9" t="s">
        <v>886</v>
      </c>
      <c r="I34" s="10">
        <v>6000000</v>
      </c>
      <c r="T34" s="1" t="s">
        <v>633</v>
      </c>
      <c r="U34" s="110" t="s">
        <v>628</v>
      </c>
      <c r="V34" s="3" t="s">
        <v>1364</v>
      </c>
      <c r="X34" s="1" t="s">
        <v>633</v>
      </c>
      <c r="Y34" s="110" t="s">
        <v>628</v>
      </c>
      <c r="Z34" s="3" t="s">
        <v>1364</v>
      </c>
    </row>
    <row r="35" spans="1:27" ht="15.75" x14ac:dyDescent="0.25">
      <c r="A35" s="4"/>
      <c r="B35" s="132"/>
      <c r="C35" s="131"/>
      <c r="D35" s="131"/>
      <c r="E35" s="131"/>
      <c r="F35" s="133"/>
      <c r="G35" s="131"/>
      <c r="H35" s="134"/>
      <c r="I35" s="135"/>
      <c r="T35" s="112">
        <f>V24</f>
        <v>39000000</v>
      </c>
      <c r="U35" s="111">
        <f>V32</f>
        <v>39605500</v>
      </c>
      <c r="V35" s="115">
        <f>SUM(T35-U35)</f>
        <v>-605500</v>
      </c>
      <c r="X35" s="112">
        <f>Z24</f>
        <v>51500000</v>
      </c>
      <c r="Y35" s="111">
        <f>Z32</f>
        <v>77269000</v>
      </c>
      <c r="Z35" s="115">
        <f>SUM(X35-Y35)</f>
        <v>-25769000</v>
      </c>
    </row>
    <row r="36" spans="1:27" ht="15.75" x14ac:dyDescent="0.25">
      <c r="A36" s="4"/>
      <c r="B36" s="132"/>
      <c r="C36" s="131"/>
      <c r="D36" s="131"/>
      <c r="E36" s="131"/>
      <c r="F36" s="133"/>
      <c r="G36" s="131"/>
      <c r="H36" s="134"/>
      <c r="I36" s="135"/>
    </row>
    <row r="37" spans="1:27" ht="20.25" thickBot="1" x14ac:dyDescent="0.3">
      <c r="A37" s="4"/>
      <c r="B37" s="132"/>
      <c r="C37" s="131"/>
      <c r="D37" s="131"/>
      <c r="E37" s="131"/>
      <c r="F37" s="133"/>
      <c r="G37" s="131"/>
      <c r="H37" s="134"/>
      <c r="I37" s="135"/>
      <c r="S37" s="239"/>
      <c r="T37" s="239"/>
      <c r="U37" s="239"/>
      <c r="V37" s="239"/>
      <c r="W37" s="239"/>
      <c r="X37" s="239"/>
      <c r="Y37" s="239"/>
      <c r="Z37" s="239"/>
      <c r="AA37" s="239"/>
    </row>
    <row r="38" spans="1:27" ht="16.5" thickTop="1" x14ac:dyDescent="0.25">
      <c r="A38" s="4"/>
      <c r="B38" s="132"/>
      <c r="C38" s="131"/>
      <c r="D38" s="131"/>
      <c r="E38" s="131"/>
      <c r="F38" s="133"/>
      <c r="G38" s="131"/>
      <c r="H38" s="134"/>
      <c r="I38" s="135"/>
    </row>
    <row r="39" spans="1:27" ht="15.75" x14ac:dyDescent="0.25">
      <c r="A39" s="4"/>
      <c r="B39" s="132"/>
      <c r="C39" s="131"/>
      <c r="D39" s="131"/>
      <c r="E39" s="131"/>
      <c r="F39" s="133"/>
      <c r="G39" s="131"/>
      <c r="H39" s="134"/>
      <c r="I39" s="135"/>
      <c r="T39" s="312" t="s">
        <v>1733</v>
      </c>
      <c r="U39" s="312"/>
      <c r="V39" s="312"/>
      <c r="X39" s="312" t="s">
        <v>1826</v>
      </c>
      <c r="Y39" s="312"/>
      <c r="Z39" s="312"/>
    </row>
    <row r="40" spans="1:27" ht="15.75" x14ac:dyDescent="0.25">
      <c r="A40" s="4"/>
      <c r="B40" s="132"/>
      <c r="C40" s="131"/>
      <c r="D40" s="131"/>
      <c r="E40" s="131"/>
      <c r="F40" s="133"/>
      <c r="G40" s="131"/>
      <c r="H40" s="134"/>
      <c r="I40" s="135"/>
      <c r="T40" s="1" t="s">
        <v>0</v>
      </c>
      <c r="U40" s="110" t="s">
        <v>3</v>
      </c>
      <c r="V40" s="3" t="s">
        <v>7</v>
      </c>
      <c r="X40" s="1" t="s">
        <v>0</v>
      </c>
      <c r="Y40" s="110" t="s">
        <v>3</v>
      </c>
      <c r="Z40" s="3" t="s">
        <v>7</v>
      </c>
    </row>
    <row r="41" spans="1:27" ht="15.75" x14ac:dyDescent="0.25">
      <c r="A41" s="4"/>
      <c r="B41" s="132"/>
      <c r="C41" s="131"/>
      <c r="D41" s="131"/>
      <c r="E41" s="131"/>
      <c r="F41" s="133"/>
      <c r="G41" s="131"/>
      <c r="H41" s="134"/>
      <c r="I41" s="135"/>
      <c r="T41" s="4">
        <v>1</v>
      </c>
      <c r="U41" s="6" t="s">
        <v>627</v>
      </c>
      <c r="V41" s="112">
        <v>134783000</v>
      </c>
      <c r="X41" s="4">
        <v>1</v>
      </c>
      <c r="Y41" s="6" t="s">
        <v>627</v>
      </c>
      <c r="Z41" s="112">
        <v>166500000</v>
      </c>
    </row>
    <row r="42" spans="1:27" ht="15.75" x14ac:dyDescent="0.25">
      <c r="A42" s="4"/>
      <c r="B42" s="132"/>
      <c r="C42" s="131"/>
      <c r="D42" s="131"/>
      <c r="E42" s="131"/>
      <c r="F42" s="133"/>
      <c r="G42" s="131"/>
      <c r="H42" s="134"/>
      <c r="I42" s="135"/>
      <c r="T42" s="4">
        <v>2</v>
      </c>
      <c r="U42" s="6" t="s">
        <v>628</v>
      </c>
      <c r="V42" s="111">
        <v>128655000</v>
      </c>
      <c r="X42" s="4">
        <v>2</v>
      </c>
      <c r="Y42" s="6" t="s">
        <v>628</v>
      </c>
      <c r="Z42" s="111">
        <v>125017000</v>
      </c>
    </row>
    <row r="43" spans="1:27" ht="15.75" x14ac:dyDescent="0.25">
      <c r="A43" s="4"/>
      <c r="B43" s="132"/>
      <c r="C43" s="131"/>
      <c r="D43" s="131"/>
      <c r="E43" s="131"/>
      <c r="F43" s="133"/>
      <c r="G43" s="131"/>
      <c r="H43" s="134"/>
      <c r="I43" s="135"/>
    </row>
    <row r="44" spans="1:27" ht="15.75" x14ac:dyDescent="0.25">
      <c r="A44" s="4"/>
      <c r="B44" s="132"/>
      <c r="C44" s="131"/>
      <c r="D44" s="131"/>
      <c r="E44" s="131"/>
      <c r="F44" s="133"/>
      <c r="G44" s="131"/>
      <c r="H44" s="134"/>
      <c r="I44" s="135"/>
    </row>
    <row r="45" spans="1:27" ht="15.75" x14ac:dyDescent="0.25">
      <c r="A45" s="4"/>
      <c r="B45" s="132"/>
      <c r="C45" s="131"/>
      <c r="D45" s="131"/>
      <c r="E45" s="131"/>
      <c r="F45" s="133"/>
      <c r="G45" s="131"/>
      <c r="H45" s="134"/>
      <c r="I45" s="135"/>
    </row>
    <row r="46" spans="1:27" ht="15.75" x14ac:dyDescent="0.25">
      <c r="A46" s="4"/>
      <c r="B46" s="132"/>
      <c r="C46" s="131"/>
      <c r="D46" s="131"/>
      <c r="E46" s="131"/>
      <c r="F46" s="133"/>
      <c r="G46" s="131"/>
      <c r="H46" s="134"/>
      <c r="I46" s="135"/>
      <c r="T46" s="1" t="s">
        <v>0</v>
      </c>
      <c r="U46" s="110" t="s">
        <v>3</v>
      </c>
      <c r="V46" s="3" t="s">
        <v>7</v>
      </c>
      <c r="X46" s="1" t="s">
        <v>0</v>
      </c>
      <c r="Y46" s="110" t="s">
        <v>3</v>
      </c>
      <c r="Z46" s="3" t="s">
        <v>7</v>
      </c>
    </row>
    <row r="47" spans="1:27" ht="15.75" x14ac:dyDescent="0.25">
      <c r="A47" s="4"/>
      <c r="B47" s="132"/>
      <c r="C47" s="131"/>
      <c r="D47" s="131"/>
      <c r="E47" s="131"/>
      <c r="F47" s="133"/>
      <c r="G47" s="131"/>
      <c r="H47" s="134"/>
      <c r="I47" s="135"/>
      <c r="T47" s="4">
        <v>1</v>
      </c>
      <c r="U47" s="113" t="s">
        <v>9</v>
      </c>
      <c r="V47" s="10">
        <v>62285000</v>
      </c>
      <c r="X47" s="4">
        <v>1</v>
      </c>
      <c r="Y47" s="113" t="s">
        <v>9</v>
      </c>
      <c r="Z47" s="10">
        <f>$I$86</f>
        <v>17703000</v>
      </c>
    </row>
    <row r="48" spans="1:27" ht="15.75" x14ac:dyDescent="0.25">
      <c r="A48" s="4"/>
      <c r="B48" s="132"/>
      <c r="C48" s="131"/>
      <c r="D48" s="131"/>
      <c r="E48" s="131"/>
      <c r="F48" s="133"/>
      <c r="G48" s="131"/>
      <c r="H48" s="134"/>
      <c r="I48" s="135"/>
      <c r="T48" s="4">
        <v>2</v>
      </c>
      <c r="U48" s="113" t="s">
        <v>21</v>
      </c>
      <c r="V48" s="10">
        <v>20270000</v>
      </c>
      <c r="X48" s="4">
        <v>2</v>
      </c>
      <c r="Y48" s="113" t="s">
        <v>21</v>
      </c>
      <c r="Z48" s="10">
        <v>4308000</v>
      </c>
    </row>
    <row r="49" spans="1:27 1052:1060" ht="15.75" x14ac:dyDescent="0.25">
      <c r="A49" s="4"/>
      <c r="B49" s="132"/>
      <c r="C49" s="131"/>
      <c r="D49" s="131"/>
      <c r="E49" s="131"/>
      <c r="F49" s="133"/>
      <c r="G49" s="131"/>
      <c r="H49" s="134"/>
      <c r="I49" s="135"/>
      <c r="T49" s="4">
        <v>3</v>
      </c>
      <c r="U49" s="6" t="s">
        <v>23</v>
      </c>
      <c r="V49" s="10">
        <v>33300000</v>
      </c>
      <c r="X49" s="4">
        <v>3</v>
      </c>
      <c r="Y49" s="6" t="s">
        <v>23</v>
      </c>
      <c r="Z49" s="10">
        <v>72400000</v>
      </c>
    </row>
    <row r="50" spans="1:27 1052:1060" ht="15.75" x14ac:dyDescent="0.25">
      <c r="A50" s="4"/>
      <c r="B50" s="132"/>
      <c r="C50" s="131"/>
      <c r="D50" s="131"/>
      <c r="E50" s="131"/>
      <c r="F50" s="133"/>
      <c r="G50" s="131"/>
      <c r="H50" s="134"/>
      <c r="I50" s="135"/>
      <c r="T50" s="4">
        <v>4</v>
      </c>
      <c r="U50" s="113" t="s">
        <v>587</v>
      </c>
      <c r="V50" s="10">
        <v>12800000</v>
      </c>
      <c r="X50" s="4">
        <v>4</v>
      </c>
      <c r="Y50" s="113" t="s">
        <v>587</v>
      </c>
      <c r="Z50" s="10">
        <v>9250000</v>
      </c>
    </row>
    <row r="51" spans="1:27 1052:1060" ht="15.75" x14ac:dyDescent="0.25">
      <c r="A51" s="4"/>
      <c r="B51" s="132"/>
      <c r="C51" s="131"/>
      <c r="D51" s="131"/>
      <c r="E51" s="131"/>
      <c r="F51" s="133"/>
      <c r="G51" s="131"/>
      <c r="H51" s="134"/>
      <c r="I51" s="135"/>
      <c r="T51" s="4">
        <v>5</v>
      </c>
      <c r="U51" s="113"/>
      <c r="V51" s="111"/>
      <c r="X51" s="4">
        <v>5</v>
      </c>
      <c r="Y51" s="113"/>
      <c r="Z51" s="111"/>
    </row>
    <row r="52" spans="1:27 1052:1060" ht="15.75" x14ac:dyDescent="0.25">
      <c r="A52" s="4"/>
      <c r="B52" s="132"/>
      <c r="C52" s="131"/>
      <c r="D52" s="131"/>
      <c r="E52" s="131"/>
      <c r="F52" s="133"/>
      <c r="G52" s="131"/>
      <c r="H52" s="134"/>
      <c r="I52" s="135"/>
      <c r="T52" s="4">
        <v>6</v>
      </c>
      <c r="U52" s="113"/>
      <c r="V52" s="111"/>
      <c r="X52" s="4">
        <v>6</v>
      </c>
      <c r="Y52" s="113"/>
      <c r="Z52" s="111"/>
    </row>
    <row r="53" spans="1:27 1052:1060" ht="15.75" x14ac:dyDescent="0.25">
      <c r="A53" s="4"/>
      <c r="B53" s="132"/>
      <c r="C53" s="131"/>
      <c r="D53" s="131"/>
      <c r="E53" s="131"/>
      <c r="F53" s="133"/>
      <c r="G53" s="131"/>
      <c r="H53" s="134"/>
      <c r="I53" s="135"/>
      <c r="T53" s="301" t="s">
        <v>619</v>
      </c>
      <c r="U53" s="301"/>
      <c r="V53" s="10">
        <f>SUM(V47:V52)</f>
        <v>128655000</v>
      </c>
      <c r="X53" s="301" t="s">
        <v>619</v>
      </c>
      <c r="Y53" s="301"/>
      <c r="Z53" s="10">
        <f>SUM(Z47:Z52)</f>
        <v>103661000</v>
      </c>
    </row>
    <row r="54" spans="1:27 1052:1060" ht="15.75" x14ac:dyDescent="0.25">
      <c r="A54" s="4"/>
      <c r="B54" s="132"/>
      <c r="C54" s="131"/>
      <c r="D54" s="131"/>
      <c r="E54" s="131"/>
      <c r="F54" s="133"/>
      <c r="G54" s="131"/>
      <c r="H54" s="134"/>
      <c r="I54" s="135"/>
    </row>
    <row r="55" spans="1:27 1052:1060" ht="15.75" x14ac:dyDescent="0.25">
      <c r="A55" s="4"/>
      <c r="B55" s="132"/>
      <c r="C55" s="131"/>
      <c r="D55" s="131"/>
      <c r="E55" s="131"/>
      <c r="F55" s="133"/>
      <c r="G55" s="131"/>
      <c r="H55" s="134"/>
      <c r="I55" s="135"/>
      <c r="T55" s="1" t="s">
        <v>633</v>
      </c>
      <c r="U55" s="110" t="s">
        <v>628</v>
      </c>
      <c r="V55" s="3" t="s">
        <v>634</v>
      </c>
      <c r="X55" s="1" t="s">
        <v>633</v>
      </c>
      <c r="Y55" s="110" t="s">
        <v>628</v>
      </c>
      <c r="Z55" s="3" t="s">
        <v>634</v>
      </c>
    </row>
    <row r="56" spans="1:27 1052:1060" ht="15.75" x14ac:dyDescent="0.25">
      <c r="A56" s="4"/>
      <c r="B56" s="132"/>
      <c r="C56" s="131"/>
      <c r="D56" s="131"/>
      <c r="E56" s="131"/>
      <c r="F56" s="133"/>
      <c r="G56" s="131"/>
      <c r="H56" s="134"/>
      <c r="I56" s="135"/>
      <c r="T56" s="112">
        <f>V41</f>
        <v>134783000</v>
      </c>
      <c r="U56" s="111">
        <f>V53</f>
        <v>128655000</v>
      </c>
      <c r="V56" s="115">
        <f>SUM(T56-U56)</f>
        <v>6128000</v>
      </c>
      <c r="X56" s="112">
        <v>166500000</v>
      </c>
      <c r="Y56" s="111">
        <v>125017000</v>
      </c>
      <c r="Z56" s="115">
        <f>SUM(X56-Y56)</f>
        <v>41483000</v>
      </c>
    </row>
    <row r="57" spans="1:27 1052:1060" ht="15.75" x14ac:dyDescent="0.25">
      <c r="A57" s="4"/>
      <c r="B57" s="132"/>
      <c r="C57" s="131"/>
      <c r="D57" s="131"/>
      <c r="E57" s="131"/>
      <c r="F57" s="133"/>
      <c r="G57" s="131"/>
      <c r="H57" s="134"/>
      <c r="I57" s="135"/>
    </row>
    <row r="58" spans="1:27 1052:1060" ht="20.25" thickBot="1" x14ac:dyDescent="0.3">
      <c r="A58" s="4"/>
      <c r="B58" s="132"/>
      <c r="C58" s="131"/>
      <c r="D58" s="131"/>
      <c r="E58" s="131"/>
      <c r="F58" s="133"/>
      <c r="G58" s="131"/>
      <c r="H58" s="134"/>
      <c r="I58" s="135"/>
      <c r="S58" s="239"/>
      <c r="T58" s="239"/>
      <c r="U58" s="239"/>
      <c r="V58" s="239"/>
      <c r="W58" s="239"/>
      <c r="X58" s="239"/>
      <c r="Y58" s="239"/>
      <c r="Z58" s="239"/>
      <c r="AA58" s="239"/>
    </row>
    <row r="59" spans="1:27 1052:1060" ht="16.5" thickTop="1" x14ac:dyDescent="0.25">
      <c r="A59" s="4"/>
      <c r="B59" s="132"/>
      <c r="C59" s="131"/>
      <c r="D59" s="131"/>
      <c r="E59" s="131"/>
      <c r="F59" s="133"/>
      <c r="G59" s="131"/>
      <c r="H59" s="134"/>
      <c r="I59" s="135"/>
    </row>
    <row r="60" spans="1:27 1052:1060" ht="15.75" x14ac:dyDescent="0.25">
      <c r="A60" s="4"/>
      <c r="B60" s="132"/>
      <c r="C60" s="131"/>
      <c r="D60" s="131"/>
      <c r="E60" s="131"/>
      <c r="F60" s="133"/>
      <c r="G60" s="131"/>
      <c r="H60" s="134"/>
      <c r="I60" s="135"/>
    </row>
    <row r="61" spans="1:27 1052:1060" ht="18.75" customHeight="1" x14ac:dyDescent="0.25">
      <c r="A61" s="4"/>
      <c r="B61" s="132"/>
      <c r="C61" s="131"/>
      <c r="D61" s="131"/>
      <c r="E61" s="131"/>
      <c r="F61" s="133"/>
      <c r="G61" s="131"/>
      <c r="H61" s="134"/>
      <c r="I61" s="135"/>
    </row>
    <row r="62" spans="1:27 1052:1060" ht="15.75" x14ac:dyDescent="0.25">
      <c r="A62" s="4"/>
      <c r="B62" s="132"/>
      <c r="C62" s="131"/>
      <c r="D62" s="131"/>
      <c r="E62" s="131"/>
      <c r="F62" s="133"/>
      <c r="G62" s="131"/>
      <c r="H62" s="134"/>
      <c r="I62" s="135"/>
      <c r="ANL62" s="110" t="s">
        <v>615</v>
      </c>
      <c r="ANM62" s="110" t="s">
        <v>3</v>
      </c>
      <c r="ANN62" s="151"/>
      <c r="ANO62" s="151"/>
      <c r="ANP62" s="151"/>
      <c r="ANQ62" s="134"/>
      <c r="ANR62" s="17"/>
      <c r="ANS62" s="17"/>
      <c r="ANT62" s="17"/>
    </row>
    <row r="63" spans="1:27 1052:1060" ht="15.75" x14ac:dyDescent="0.25">
      <c r="A63" s="4"/>
      <c r="B63" s="132"/>
      <c r="C63" s="131"/>
      <c r="D63" s="131"/>
      <c r="E63" s="131"/>
      <c r="F63" s="133"/>
      <c r="G63" s="131"/>
      <c r="H63" s="134"/>
      <c r="I63" s="135"/>
      <c r="ANL63" s="152" t="s">
        <v>621</v>
      </c>
      <c r="ANM63" s="11" t="s">
        <v>23</v>
      </c>
      <c r="ANN63" s="305" t="s">
        <v>707</v>
      </c>
      <c r="ANO63" s="305"/>
      <c r="ANP63" s="305"/>
      <c r="ANQ63" s="305"/>
      <c r="ANR63" s="139" t="s">
        <v>619</v>
      </c>
      <c r="ANS63" s="139"/>
      <c r="ANT63" s="140">
        <f>SUM(AOB64:AOB87)</f>
        <v>25350000</v>
      </c>
    </row>
    <row r="64" spans="1:27 1052:1060" ht="15.75" x14ac:dyDescent="0.25">
      <c r="A64" s="4"/>
      <c r="B64" s="132"/>
      <c r="C64" s="131"/>
      <c r="D64" s="131"/>
      <c r="E64" s="131"/>
      <c r="F64" s="133"/>
      <c r="G64" s="131"/>
      <c r="H64" s="134"/>
      <c r="I64" s="135"/>
      <c r="ANL64" s="137" t="s">
        <v>0</v>
      </c>
      <c r="ANM64" s="89" t="s">
        <v>1</v>
      </c>
      <c r="ANN64" s="90" t="s">
        <v>2</v>
      </c>
      <c r="ANO64" s="90" t="s">
        <v>3</v>
      </c>
      <c r="ANP64" s="90" t="s">
        <v>4</v>
      </c>
      <c r="ANQ64" s="91" t="s">
        <v>5</v>
      </c>
      <c r="ANR64" s="90" t="s">
        <v>615</v>
      </c>
      <c r="ANS64" s="91" t="s">
        <v>6</v>
      </c>
      <c r="ANT64" s="138" t="s">
        <v>7</v>
      </c>
    </row>
    <row r="65" spans="1:9 1052:1068" ht="15.75" x14ac:dyDescent="0.25">
      <c r="A65" s="4"/>
      <c r="B65" s="132"/>
      <c r="C65" s="131"/>
      <c r="D65" s="131"/>
      <c r="E65" s="131"/>
      <c r="F65" s="133"/>
      <c r="G65" s="131"/>
      <c r="H65" s="134"/>
      <c r="I65" s="135"/>
      <c r="ANL65" s="4">
        <v>117</v>
      </c>
      <c r="ANM65" s="5" t="s">
        <v>649</v>
      </c>
      <c r="ANN65" s="6">
        <v>46055</v>
      </c>
      <c r="ANO65" s="11" t="s">
        <v>23</v>
      </c>
      <c r="ANP65" s="16" t="s">
        <v>578</v>
      </c>
      <c r="ANQ65" s="13" t="s">
        <v>656</v>
      </c>
      <c r="ANR65" s="147">
        <v>2</v>
      </c>
      <c r="ANS65" s="9"/>
      <c r="ANT65" s="167">
        <v>5000000</v>
      </c>
    </row>
    <row r="66" spans="1:9 1052:1068" ht="15.75" x14ac:dyDescent="0.25">
      <c r="A66" s="4"/>
      <c r="B66" s="132"/>
      <c r="C66" s="131"/>
      <c r="D66" s="131"/>
      <c r="E66" s="131"/>
      <c r="F66" s="133"/>
      <c r="G66" s="131"/>
      <c r="H66" s="134"/>
      <c r="I66" s="135"/>
      <c r="ANT66" s="4">
        <v>127</v>
      </c>
      <c r="ANU66" s="5" t="s">
        <v>678</v>
      </c>
      <c r="ANV66" s="6">
        <v>46056</v>
      </c>
      <c r="ANW66" s="11" t="s">
        <v>23</v>
      </c>
      <c r="ANX66" s="16" t="s">
        <v>51</v>
      </c>
      <c r="ANY66" s="13" t="s">
        <v>679</v>
      </c>
      <c r="ANZ66" s="147">
        <v>2</v>
      </c>
      <c r="AOA66" s="9"/>
      <c r="AOB66" s="10">
        <v>19250000</v>
      </c>
    </row>
    <row r="67" spans="1:9 1052:1068" ht="15.75" x14ac:dyDescent="0.25">
      <c r="A67" s="4"/>
      <c r="B67" s="132"/>
      <c r="C67" s="131"/>
      <c r="D67" s="131"/>
      <c r="E67" s="131"/>
      <c r="F67" s="133"/>
      <c r="G67" s="131"/>
      <c r="H67" s="134"/>
      <c r="I67" s="135"/>
      <c r="ANT67" s="4">
        <v>146</v>
      </c>
      <c r="ANU67" s="5" t="s">
        <v>727</v>
      </c>
      <c r="ANV67" s="6">
        <v>46063</v>
      </c>
      <c r="ANW67" s="11" t="s">
        <v>23</v>
      </c>
      <c r="ANX67" s="16" t="s">
        <v>728</v>
      </c>
      <c r="ANY67" s="13" t="s">
        <v>729</v>
      </c>
      <c r="ANZ67" s="147">
        <v>2</v>
      </c>
      <c r="AOA67" s="9"/>
      <c r="AOB67" s="10">
        <v>600000</v>
      </c>
    </row>
    <row r="68" spans="1:9 1052:1068" ht="15.75" x14ac:dyDescent="0.25">
      <c r="A68" s="4"/>
      <c r="B68" s="132"/>
      <c r="C68" s="131"/>
      <c r="D68" s="131"/>
      <c r="E68" s="131"/>
      <c r="F68" s="133"/>
      <c r="G68" s="131"/>
      <c r="H68" s="134"/>
      <c r="I68" s="135"/>
      <c r="ANT68" s="4">
        <v>148</v>
      </c>
      <c r="ANU68" s="5" t="s">
        <v>733</v>
      </c>
      <c r="ANV68" s="6">
        <v>46063</v>
      </c>
      <c r="ANW68" s="11" t="s">
        <v>23</v>
      </c>
      <c r="ANX68" s="16" t="s">
        <v>578</v>
      </c>
      <c r="ANY68" s="13" t="s">
        <v>168</v>
      </c>
      <c r="ANZ68" s="147">
        <v>2</v>
      </c>
      <c r="AOA68" s="9"/>
      <c r="AOB68" s="167">
        <v>1500000</v>
      </c>
    </row>
    <row r="69" spans="1:9 1052:1068" ht="15.75" x14ac:dyDescent="0.25">
      <c r="A69" s="4"/>
      <c r="B69" s="132"/>
      <c r="C69" s="131"/>
      <c r="D69" s="131"/>
      <c r="E69" s="131"/>
      <c r="F69" s="133"/>
      <c r="G69" s="131"/>
      <c r="H69" s="134"/>
      <c r="I69" s="135"/>
      <c r="ANT69" s="4">
        <v>160</v>
      </c>
      <c r="ANU69" s="5" t="s">
        <v>758</v>
      </c>
      <c r="ANV69" s="6">
        <v>46067</v>
      </c>
      <c r="ANW69" s="11" t="s">
        <v>23</v>
      </c>
      <c r="ANX69" s="16" t="s">
        <v>105</v>
      </c>
      <c r="ANY69" s="13" t="s">
        <v>759</v>
      </c>
      <c r="ANZ69" s="147">
        <v>2</v>
      </c>
      <c r="AOA69" s="9"/>
      <c r="AOB69" s="167">
        <v>4000000</v>
      </c>
    </row>
    <row r="70" spans="1:9 1052:1068" ht="15.75" x14ac:dyDescent="0.25">
      <c r="A70" s="4"/>
      <c r="B70" s="132"/>
      <c r="C70" s="131"/>
      <c r="D70" s="131"/>
      <c r="E70" s="131"/>
      <c r="F70" s="133"/>
      <c r="G70" s="131"/>
      <c r="H70" s="134"/>
      <c r="I70" s="135"/>
      <c r="ANL70" s="4">
        <v>182</v>
      </c>
      <c r="ANM70" s="5" t="s">
        <v>812</v>
      </c>
      <c r="ANN70" s="6">
        <v>46071</v>
      </c>
      <c r="ANO70" s="11" t="s">
        <v>23</v>
      </c>
      <c r="ANP70" s="16" t="s">
        <v>728</v>
      </c>
      <c r="ANQ70" s="13" t="s">
        <v>679</v>
      </c>
      <c r="ANR70" s="147">
        <v>2</v>
      </c>
      <c r="ANS70" s="9"/>
      <c r="ANT70" s="10">
        <v>2500000</v>
      </c>
    </row>
    <row r="71" spans="1:9 1052:1068" ht="15.75" x14ac:dyDescent="0.25">
      <c r="A71" s="4"/>
      <c r="B71" s="132"/>
      <c r="C71" s="131"/>
      <c r="D71" s="131"/>
      <c r="E71" s="131"/>
      <c r="F71" s="133"/>
      <c r="G71" s="131"/>
      <c r="H71" s="134"/>
      <c r="I71" s="135"/>
      <c r="ANL71" s="4">
        <v>188</v>
      </c>
      <c r="ANM71" s="5" t="s">
        <v>824</v>
      </c>
      <c r="ANN71" s="6">
        <v>46071</v>
      </c>
      <c r="ANO71" s="11" t="s">
        <v>23</v>
      </c>
      <c r="ANP71" s="16" t="s">
        <v>578</v>
      </c>
      <c r="ANQ71" s="13" t="s">
        <v>106</v>
      </c>
      <c r="ANR71" s="147">
        <v>2</v>
      </c>
      <c r="ANS71" s="9"/>
      <c r="ANT71" s="167">
        <v>6000000</v>
      </c>
    </row>
    <row r="72" spans="1:9 1052:1068" ht="15.75" x14ac:dyDescent="0.25">
      <c r="A72" s="4"/>
      <c r="B72" s="132"/>
      <c r="C72" s="131"/>
      <c r="D72" s="131"/>
      <c r="E72" s="131"/>
      <c r="F72" s="133"/>
      <c r="G72" s="131"/>
      <c r="H72" s="134"/>
      <c r="I72" s="135"/>
      <c r="ANL72" s="4">
        <v>193</v>
      </c>
      <c r="ANM72" s="5" t="s">
        <v>837</v>
      </c>
      <c r="ANN72" s="6">
        <v>46072</v>
      </c>
      <c r="ANO72" s="11" t="s">
        <v>23</v>
      </c>
      <c r="ANP72" s="16" t="s">
        <v>105</v>
      </c>
      <c r="ANQ72" s="13" t="s">
        <v>841</v>
      </c>
      <c r="ANR72" s="147">
        <v>2</v>
      </c>
      <c r="ANS72" s="9"/>
      <c r="ANT72" s="167">
        <v>40000000</v>
      </c>
    </row>
    <row r="73" spans="1:9 1052:1068" ht="15.75" x14ac:dyDescent="0.25">
      <c r="A73" s="4"/>
      <c r="B73" s="132"/>
      <c r="C73" s="131"/>
      <c r="D73" s="131"/>
      <c r="E73" s="131"/>
      <c r="F73" s="133"/>
      <c r="G73" s="131"/>
      <c r="H73" s="134"/>
      <c r="I73" s="135"/>
      <c r="ANL73" s="4">
        <v>215</v>
      </c>
      <c r="ANM73" s="5" t="s">
        <v>883</v>
      </c>
      <c r="ANN73" s="6">
        <v>46077</v>
      </c>
      <c r="ANO73" s="11" t="s">
        <v>23</v>
      </c>
      <c r="ANP73" s="16" t="s">
        <v>105</v>
      </c>
      <c r="ANQ73" s="13" t="s">
        <v>168</v>
      </c>
      <c r="ANR73" s="147">
        <v>2</v>
      </c>
      <c r="ANS73" s="9"/>
      <c r="ANT73" s="167">
        <v>500000</v>
      </c>
    </row>
    <row r="74" spans="1:9 1052:1068" ht="15.75" x14ac:dyDescent="0.25">
      <c r="A74" s="4"/>
      <c r="B74" s="132"/>
      <c r="C74" s="131"/>
      <c r="D74" s="131"/>
      <c r="E74" s="131"/>
      <c r="F74" s="133"/>
      <c r="G74" s="131"/>
      <c r="H74" s="134"/>
      <c r="I74" s="135"/>
    </row>
    <row r="75" spans="1:9 1052:1068" ht="15.75" x14ac:dyDescent="0.25">
      <c r="A75" s="4"/>
      <c r="B75" s="132"/>
      <c r="C75" s="131"/>
      <c r="D75" s="131"/>
      <c r="E75" s="131"/>
      <c r="F75" s="133"/>
      <c r="G75" s="131"/>
      <c r="H75" s="134"/>
      <c r="I75" s="135"/>
    </row>
    <row r="76" spans="1:9 1052:1068" ht="15.75" x14ac:dyDescent="0.25">
      <c r="A76" s="4"/>
      <c r="B76" s="132"/>
      <c r="C76" s="131"/>
      <c r="D76" s="131"/>
      <c r="E76" s="131"/>
      <c r="F76" s="133"/>
      <c r="G76" s="131"/>
      <c r="H76" s="134"/>
      <c r="I76" s="135"/>
    </row>
    <row r="77" spans="1:9 1052:1068" ht="15.75" x14ac:dyDescent="0.25">
      <c r="A77" s="4"/>
      <c r="B77" s="132"/>
      <c r="C77" s="131"/>
      <c r="D77" s="131"/>
      <c r="E77" s="131"/>
      <c r="F77" s="133"/>
      <c r="G77" s="131"/>
      <c r="H77" s="134"/>
      <c r="I77" s="135"/>
    </row>
    <row r="78" spans="1:9 1052:1068" ht="15.75" x14ac:dyDescent="0.25">
      <c r="A78" s="4"/>
      <c r="B78" s="132"/>
      <c r="C78" s="131"/>
      <c r="D78" s="131"/>
      <c r="E78" s="131"/>
      <c r="F78" s="133"/>
      <c r="G78" s="131"/>
      <c r="H78" s="134"/>
      <c r="I78" s="135"/>
    </row>
    <row r="79" spans="1:9 1052:1068" ht="15.75" x14ac:dyDescent="0.25">
      <c r="A79" s="4"/>
      <c r="B79" s="132"/>
      <c r="C79" s="131"/>
      <c r="D79" s="131"/>
      <c r="E79" s="131"/>
      <c r="F79" s="133"/>
      <c r="G79" s="131"/>
      <c r="H79" s="134"/>
      <c r="I79" s="135"/>
    </row>
    <row r="80" spans="1:9 1052:1068" ht="15.75" x14ac:dyDescent="0.25">
      <c r="A80" s="4"/>
      <c r="B80" s="132"/>
      <c r="C80" s="131"/>
      <c r="D80" s="131"/>
      <c r="E80" s="131"/>
      <c r="F80" s="133"/>
      <c r="G80" s="131"/>
      <c r="H80" s="134"/>
      <c r="I80" s="135"/>
    </row>
    <row r="81" spans="1:9" ht="15.75" x14ac:dyDescent="0.25">
      <c r="A81" s="4"/>
      <c r="B81" s="132"/>
      <c r="C81" s="131"/>
      <c r="D81" s="131"/>
      <c r="E81" s="131"/>
      <c r="F81" s="133"/>
      <c r="G81" s="131"/>
      <c r="H81" s="134"/>
      <c r="I81" s="135"/>
    </row>
    <row r="82" spans="1:9" ht="15.75" x14ac:dyDescent="0.25">
      <c r="A82" s="4"/>
      <c r="B82" s="132"/>
      <c r="C82" s="131"/>
      <c r="D82" s="131"/>
      <c r="E82" s="131"/>
      <c r="F82" s="133"/>
      <c r="G82" s="131"/>
      <c r="H82" s="134"/>
      <c r="I82" s="135"/>
    </row>
    <row r="83" spans="1:9" ht="15.75" x14ac:dyDescent="0.25">
      <c r="A83" s="4"/>
      <c r="B83" s="132"/>
      <c r="C83" s="131"/>
      <c r="D83" s="131"/>
      <c r="E83" s="131"/>
      <c r="F83" s="133"/>
      <c r="G83" s="131"/>
      <c r="H83" s="134"/>
      <c r="I83" s="135"/>
    </row>
    <row r="84" spans="1:9" ht="15.75" x14ac:dyDescent="0.25">
      <c r="A84" s="4"/>
      <c r="B84" s="132"/>
      <c r="C84" s="131"/>
      <c r="D84" s="131"/>
      <c r="E84" s="131"/>
      <c r="F84" s="133"/>
      <c r="G84" s="131"/>
      <c r="H84" s="134"/>
      <c r="I84" s="135"/>
    </row>
    <row r="85" spans="1:9" ht="15.75" x14ac:dyDescent="0.25">
      <c r="A85" s="136" t="s">
        <v>615</v>
      </c>
      <c r="B85" s="136" t="s">
        <v>3</v>
      </c>
      <c r="C85" s="320" t="str">
        <f>C2</f>
        <v>الشهر السابع ل 2026</v>
      </c>
      <c r="D85" s="321"/>
      <c r="E85" s="321"/>
      <c r="F85" s="322"/>
      <c r="G85" s="17"/>
      <c r="H85" s="17"/>
      <c r="I85" s="17"/>
    </row>
    <row r="86" spans="1:9" ht="15.75" x14ac:dyDescent="0.25">
      <c r="A86" s="107" t="s">
        <v>625</v>
      </c>
      <c r="B86" s="7" t="s">
        <v>9</v>
      </c>
      <c r="C86" s="323"/>
      <c r="D86" s="324"/>
      <c r="E86" s="324"/>
      <c r="F86" s="325"/>
      <c r="G86" s="139" t="s">
        <v>619</v>
      </c>
      <c r="H86" s="139"/>
      <c r="I86" s="140">
        <f>SUM(I87:I167)</f>
        <v>17703000</v>
      </c>
    </row>
    <row r="87" spans="1:9" ht="15.75" x14ac:dyDescent="0.25">
      <c r="A87" s="137" t="s">
        <v>0</v>
      </c>
      <c r="B87" s="89" t="s">
        <v>1</v>
      </c>
      <c r="C87" s="90" t="s">
        <v>2</v>
      </c>
      <c r="D87" s="90" t="s">
        <v>3</v>
      </c>
      <c r="E87" s="90" t="s">
        <v>4</v>
      </c>
      <c r="F87" s="91" t="s">
        <v>5</v>
      </c>
      <c r="G87" s="90" t="s">
        <v>615</v>
      </c>
      <c r="H87" s="91" t="s">
        <v>6</v>
      </c>
      <c r="I87" s="138" t="s">
        <v>7</v>
      </c>
    </row>
    <row r="88" spans="1:9" x14ac:dyDescent="0.25">
      <c r="A88" s="4">
        <v>606</v>
      </c>
      <c r="B88" s="5" t="s">
        <v>1739</v>
      </c>
      <c r="C88" s="6">
        <v>46209</v>
      </c>
      <c r="D88" s="11" t="s">
        <v>9</v>
      </c>
      <c r="E88" s="16" t="s">
        <v>17</v>
      </c>
      <c r="F88" s="16" t="s">
        <v>569</v>
      </c>
      <c r="G88" s="147">
        <v>7</v>
      </c>
      <c r="H88" s="9"/>
      <c r="I88" s="10">
        <v>1250000</v>
      </c>
    </row>
    <row r="89" spans="1:9" x14ac:dyDescent="0.25">
      <c r="A89" s="4">
        <v>620</v>
      </c>
      <c r="B89" s="5" t="s">
        <v>1763</v>
      </c>
      <c r="C89" s="6">
        <v>46214</v>
      </c>
      <c r="D89" s="11" t="s">
        <v>9</v>
      </c>
      <c r="E89" s="16" t="s">
        <v>97</v>
      </c>
      <c r="F89" s="16" t="s">
        <v>1766</v>
      </c>
      <c r="G89" s="147">
        <v>7</v>
      </c>
      <c r="H89" s="9"/>
      <c r="I89" s="10">
        <v>150000</v>
      </c>
    </row>
    <row r="90" spans="1:9" x14ac:dyDescent="0.25">
      <c r="A90" s="4">
        <v>622</v>
      </c>
      <c r="B90" s="5" t="s">
        <v>1765</v>
      </c>
      <c r="C90" s="6">
        <v>46214</v>
      </c>
      <c r="D90" s="11" t="s">
        <v>9</v>
      </c>
      <c r="E90" s="16" t="s">
        <v>97</v>
      </c>
      <c r="F90" s="16" t="s">
        <v>9</v>
      </c>
      <c r="G90" s="147">
        <v>7</v>
      </c>
      <c r="H90" s="9"/>
      <c r="I90" s="10">
        <v>632000</v>
      </c>
    </row>
    <row r="91" spans="1:9" x14ac:dyDescent="0.25">
      <c r="A91" s="4">
        <v>628</v>
      </c>
      <c r="B91" s="5" t="s">
        <v>1775</v>
      </c>
      <c r="C91" s="6">
        <v>46216</v>
      </c>
      <c r="D91" s="11" t="s">
        <v>9</v>
      </c>
      <c r="E91" s="16" t="s">
        <v>1576</v>
      </c>
      <c r="F91" s="16" t="s">
        <v>1776</v>
      </c>
      <c r="G91" s="147">
        <v>7</v>
      </c>
      <c r="H91" s="9"/>
      <c r="I91" s="10">
        <v>3000000</v>
      </c>
    </row>
    <row r="92" spans="1:9" x14ac:dyDescent="0.25">
      <c r="A92" s="4">
        <v>631</v>
      </c>
      <c r="B92" s="5" t="s">
        <v>1779</v>
      </c>
      <c r="C92" s="6">
        <v>46216</v>
      </c>
      <c r="D92" s="11" t="s">
        <v>9</v>
      </c>
      <c r="E92" s="16" t="s">
        <v>1576</v>
      </c>
      <c r="F92" s="16" t="s">
        <v>1783</v>
      </c>
      <c r="G92" s="147">
        <v>7</v>
      </c>
      <c r="H92" s="9"/>
      <c r="I92" s="10">
        <v>2455000</v>
      </c>
    </row>
    <row r="93" spans="1:9" x14ac:dyDescent="0.25">
      <c r="A93" s="4">
        <v>633</v>
      </c>
      <c r="B93" s="5" t="s">
        <v>1784</v>
      </c>
      <c r="C93" s="6">
        <v>46216</v>
      </c>
      <c r="D93" s="11" t="s">
        <v>9</v>
      </c>
      <c r="E93" s="16" t="s">
        <v>1601</v>
      </c>
      <c r="F93" s="114" t="s">
        <v>1786</v>
      </c>
      <c r="G93" s="147">
        <v>7</v>
      </c>
      <c r="H93" s="9"/>
      <c r="I93" s="10">
        <v>420000</v>
      </c>
    </row>
    <row r="94" spans="1:9" x14ac:dyDescent="0.25">
      <c r="A94" s="4">
        <v>636</v>
      </c>
      <c r="B94" s="5" t="s">
        <v>1790</v>
      </c>
      <c r="C94" s="6">
        <v>46216</v>
      </c>
      <c r="D94" s="11" t="s">
        <v>9</v>
      </c>
      <c r="E94" s="16" t="s">
        <v>132</v>
      </c>
      <c r="F94" s="16" t="s">
        <v>133</v>
      </c>
      <c r="G94" s="147">
        <v>7</v>
      </c>
      <c r="H94" s="9"/>
      <c r="I94" s="10">
        <v>500000</v>
      </c>
    </row>
    <row r="95" spans="1:9" x14ac:dyDescent="0.25">
      <c r="A95" s="4">
        <v>644</v>
      </c>
      <c r="B95" s="5" t="s">
        <v>1800</v>
      </c>
      <c r="C95" s="6">
        <v>46217</v>
      </c>
      <c r="D95" s="11" t="s">
        <v>9</v>
      </c>
      <c r="E95" s="16" t="s">
        <v>1803</v>
      </c>
      <c r="F95" s="16" t="s">
        <v>1804</v>
      </c>
      <c r="G95" s="147">
        <v>7</v>
      </c>
      <c r="H95" s="9"/>
      <c r="I95" s="10">
        <v>35000</v>
      </c>
    </row>
    <row r="96" spans="1:9" x14ac:dyDescent="0.25">
      <c r="A96" s="4">
        <v>645</v>
      </c>
      <c r="B96" s="5" t="s">
        <v>1801</v>
      </c>
      <c r="C96" s="6">
        <v>46217</v>
      </c>
      <c r="D96" s="11" t="s">
        <v>9</v>
      </c>
      <c r="E96" s="16" t="s">
        <v>1805</v>
      </c>
      <c r="F96" s="16" t="s">
        <v>1806</v>
      </c>
      <c r="G96" s="147">
        <v>7</v>
      </c>
      <c r="H96" s="9"/>
      <c r="I96" s="10">
        <v>1156000</v>
      </c>
    </row>
    <row r="97" spans="1:9" x14ac:dyDescent="0.25">
      <c r="A97" s="4">
        <v>646</v>
      </c>
      <c r="B97" s="5" t="s">
        <v>1802</v>
      </c>
      <c r="C97" s="6">
        <v>46217</v>
      </c>
      <c r="D97" s="11" t="s">
        <v>9</v>
      </c>
      <c r="E97" s="16" t="s">
        <v>1200</v>
      </c>
      <c r="F97" s="16" t="s">
        <v>1807</v>
      </c>
      <c r="G97" s="147">
        <v>7</v>
      </c>
      <c r="H97" s="9"/>
      <c r="I97" s="10">
        <v>3000000</v>
      </c>
    </row>
    <row r="98" spans="1:9" x14ac:dyDescent="0.25">
      <c r="A98" s="4">
        <v>648</v>
      </c>
      <c r="B98" s="5" t="s">
        <v>1809</v>
      </c>
      <c r="C98" s="6">
        <v>46217</v>
      </c>
      <c r="D98" s="11" t="s">
        <v>9</v>
      </c>
      <c r="E98" s="16" t="s">
        <v>10</v>
      </c>
      <c r="F98" s="16" t="s">
        <v>1810</v>
      </c>
      <c r="G98" s="147">
        <v>7</v>
      </c>
      <c r="H98" s="9"/>
      <c r="I98" s="10">
        <v>100000</v>
      </c>
    </row>
    <row r="99" spans="1:9" x14ac:dyDescent="0.25">
      <c r="A99" s="4">
        <v>650</v>
      </c>
      <c r="B99" s="5" t="s">
        <v>1813</v>
      </c>
      <c r="C99" s="6">
        <v>46218</v>
      </c>
      <c r="D99" s="11" t="s">
        <v>9</v>
      </c>
      <c r="E99" s="16" t="s">
        <v>86</v>
      </c>
      <c r="F99" s="16" t="s">
        <v>1340</v>
      </c>
      <c r="G99" s="147">
        <v>7</v>
      </c>
      <c r="H99" s="9"/>
      <c r="I99" s="10">
        <v>1900000</v>
      </c>
    </row>
    <row r="100" spans="1:9" x14ac:dyDescent="0.25">
      <c r="A100" s="4">
        <v>652</v>
      </c>
      <c r="B100" s="5" t="s">
        <v>1815</v>
      </c>
      <c r="C100" s="6">
        <v>46221</v>
      </c>
      <c r="D100" s="11" t="s">
        <v>9</v>
      </c>
      <c r="E100" s="16" t="s">
        <v>1816</v>
      </c>
      <c r="F100" s="16" t="s">
        <v>1817</v>
      </c>
      <c r="G100" s="147">
        <v>7</v>
      </c>
      <c r="H100" s="9"/>
      <c r="I100" s="10">
        <v>1000000</v>
      </c>
    </row>
    <row r="101" spans="1:9" x14ac:dyDescent="0.25">
      <c r="A101" s="4">
        <v>656</v>
      </c>
      <c r="B101" s="5" t="s">
        <v>1824</v>
      </c>
      <c r="C101" s="6">
        <v>46223</v>
      </c>
      <c r="D101" s="11" t="s">
        <v>9</v>
      </c>
      <c r="E101" s="16" t="s">
        <v>1685</v>
      </c>
      <c r="F101" s="16" t="s">
        <v>1825</v>
      </c>
      <c r="G101" s="147">
        <v>7</v>
      </c>
      <c r="H101" s="9"/>
      <c r="I101" s="10">
        <v>500000</v>
      </c>
    </row>
    <row r="102" spans="1:9" x14ac:dyDescent="0.25">
      <c r="A102" s="4">
        <v>657</v>
      </c>
      <c r="B102" s="5" t="s">
        <v>1828</v>
      </c>
      <c r="C102" s="6">
        <v>46224</v>
      </c>
      <c r="D102" s="11" t="s">
        <v>9</v>
      </c>
      <c r="E102" s="16" t="s">
        <v>97</v>
      </c>
      <c r="F102" s="16" t="s">
        <v>9</v>
      </c>
      <c r="G102" s="147">
        <v>7</v>
      </c>
      <c r="H102" s="9"/>
      <c r="I102" s="10">
        <v>355000</v>
      </c>
    </row>
    <row r="103" spans="1:9" x14ac:dyDescent="0.25">
      <c r="A103" s="4">
        <v>658</v>
      </c>
      <c r="B103" s="5" t="s">
        <v>1829</v>
      </c>
      <c r="C103" s="6">
        <v>46224</v>
      </c>
      <c r="D103" s="11" t="s">
        <v>9</v>
      </c>
      <c r="E103" s="16" t="s">
        <v>1576</v>
      </c>
      <c r="F103" s="16" t="s">
        <v>1830</v>
      </c>
      <c r="G103" s="147">
        <v>7</v>
      </c>
      <c r="H103" s="9"/>
      <c r="I103" s="10">
        <v>1000000</v>
      </c>
    </row>
    <row r="104" spans="1:9" x14ac:dyDescent="0.25">
      <c r="A104" s="4">
        <v>660</v>
      </c>
      <c r="B104" s="5" t="s">
        <v>1834</v>
      </c>
      <c r="C104" s="6">
        <v>46228</v>
      </c>
      <c r="D104" s="11" t="s">
        <v>9</v>
      </c>
      <c r="E104" s="16" t="s">
        <v>1835</v>
      </c>
      <c r="F104" s="16" t="s">
        <v>1836</v>
      </c>
      <c r="G104" s="147">
        <v>7</v>
      </c>
      <c r="H104" s="9"/>
      <c r="I104" s="10">
        <v>250000</v>
      </c>
    </row>
    <row r="105" spans="1:9" x14ac:dyDescent="0.25">
      <c r="A105" s="4"/>
      <c r="B105" s="5"/>
      <c r="C105" s="6"/>
      <c r="D105" s="11"/>
      <c r="E105" s="16"/>
      <c r="F105" s="16"/>
      <c r="G105" s="147"/>
      <c r="H105" s="9"/>
      <c r="I105" s="10"/>
    </row>
    <row r="106" spans="1:9" ht="15.75" x14ac:dyDescent="0.25">
      <c r="A106" s="4"/>
      <c r="B106" s="5"/>
      <c r="C106" s="6"/>
      <c r="D106" s="11"/>
      <c r="E106" s="16"/>
      <c r="F106" s="13"/>
      <c r="G106" s="147"/>
      <c r="H106" s="9"/>
      <c r="I106" s="10"/>
    </row>
    <row r="107" spans="1:9" x14ac:dyDescent="0.25">
      <c r="A107" s="4"/>
      <c r="B107" s="5"/>
      <c r="C107" s="6"/>
      <c r="D107" s="11"/>
      <c r="E107" s="16"/>
      <c r="F107" s="16"/>
      <c r="G107" s="147"/>
      <c r="H107" s="9"/>
      <c r="I107" s="10"/>
    </row>
    <row r="108" spans="1:9" x14ac:dyDescent="0.25">
      <c r="A108" s="4"/>
      <c r="B108" s="5"/>
      <c r="C108" s="6"/>
      <c r="D108" s="11"/>
      <c r="E108" s="16"/>
      <c r="F108" s="16"/>
      <c r="G108" s="147"/>
      <c r="H108" s="9"/>
      <c r="I108" s="10"/>
    </row>
    <row r="109" spans="1:9" x14ac:dyDescent="0.25">
      <c r="A109" s="4"/>
      <c r="B109" s="5"/>
      <c r="C109" s="6"/>
      <c r="D109" s="11"/>
      <c r="E109" s="16"/>
      <c r="F109" s="16"/>
      <c r="G109" s="147"/>
      <c r="H109" s="9"/>
      <c r="I109" s="10"/>
    </row>
    <row r="110" spans="1:9" x14ac:dyDescent="0.25">
      <c r="A110" s="4"/>
      <c r="B110" s="5"/>
      <c r="C110" s="6"/>
      <c r="D110" s="11"/>
      <c r="E110" s="16"/>
      <c r="F110" s="16"/>
      <c r="G110" s="147"/>
      <c r="H110" s="9"/>
      <c r="I110" s="10"/>
    </row>
    <row r="111" spans="1:9" x14ac:dyDescent="0.25">
      <c r="A111" s="4"/>
      <c r="B111" s="5"/>
      <c r="C111" s="6"/>
      <c r="D111" s="11"/>
      <c r="E111" s="16"/>
      <c r="F111" s="16"/>
      <c r="G111" s="147"/>
      <c r="H111" s="9"/>
      <c r="I111" s="10"/>
    </row>
    <row r="112" spans="1:9" x14ac:dyDescent="0.25">
      <c r="A112" s="4"/>
      <c r="B112" s="5"/>
      <c r="C112" s="6"/>
      <c r="D112" s="11"/>
      <c r="E112" s="16"/>
      <c r="F112" s="16"/>
      <c r="G112" s="147"/>
      <c r="H112" s="9"/>
      <c r="I112" s="10"/>
    </row>
    <row r="113" spans="1:9" x14ac:dyDescent="0.25">
      <c r="A113" s="4"/>
      <c r="B113" s="5"/>
      <c r="C113" s="6"/>
      <c r="D113" s="11"/>
      <c r="E113" s="16"/>
      <c r="F113" s="16"/>
      <c r="G113" s="147"/>
      <c r="H113" s="9"/>
      <c r="I113" s="10"/>
    </row>
    <row r="114" spans="1:9" x14ac:dyDescent="0.25">
      <c r="A114" s="4"/>
      <c r="B114" s="5"/>
      <c r="C114" s="6"/>
      <c r="D114" s="11"/>
      <c r="E114" s="16"/>
      <c r="F114" s="16"/>
      <c r="G114" s="147"/>
      <c r="H114" s="9"/>
      <c r="I114" s="10"/>
    </row>
    <row r="115" spans="1:9" x14ac:dyDescent="0.25">
      <c r="A115" s="4"/>
      <c r="B115" s="5"/>
      <c r="C115" s="6"/>
      <c r="D115" s="11"/>
      <c r="E115" s="16"/>
      <c r="F115" s="16"/>
      <c r="G115" s="147"/>
      <c r="H115" s="9"/>
      <c r="I115" s="10"/>
    </row>
    <row r="116" spans="1:9" x14ac:dyDescent="0.25">
      <c r="A116" s="4"/>
      <c r="B116" s="5"/>
      <c r="C116" s="6"/>
      <c r="D116" s="11"/>
      <c r="E116" s="16"/>
      <c r="F116" s="16"/>
      <c r="G116" s="147"/>
      <c r="H116" s="9"/>
      <c r="I116" s="10"/>
    </row>
    <row r="117" spans="1:9" x14ac:dyDescent="0.25">
      <c r="A117" s="4"/>
      <c r="B117" s="5"/>
      <c r="C117" s="6"/>
      <c r="D117" s="11"/>
      <c r="E117" s="16"/>
      <c r="F117" s="16"/>
      <c r="G117" s="147"/>
      <c r="H117" s="9"/>
      <c r="I117" s="10"/>
    </row>
    <row r="118" spans="1:9" x14ac:dyDescent="0.25">
      <c r="A118" s="4"/>
      <c r="B118" s="5"/>
      <c r="C118" s="6"/>
      <c r="D118" s="11"/>
      <c r="E118" s="16"/>
      <c r="F118" s="16"/>
      <c r="G118" s="147"/>
      <c r="H118" s="9"/>
      <c r="I118" s="10"/>
    </row>
    <row r="119" spans="1:9" x14ac:dyDescent="0.25">
      <c r="A119" s="4"/>
      <c r="B119" s="5"/>
      <c r="C119" s="6"/>
      <c r="D119" s="11"/>
      <c r="E119" s="16"/>
      <c r="F119" s="16"/>
      <c r="G119" s="147"/>
      <c r="H119" s="9"/>
      <c r="I119" s="10"/>
    </row>
    <row r="120" spans="1:9" x14ac:dyDescent="0.25">
      <c r="A120" s="4"/>
      <c r="B120" s="5"/>
      <c r="C120" s="6"/>
      <c r="D120" s="11"/>
      <c r="E120" s="16"/>
      <c r="F120" s="16"/>
      <c r="G120" s="147"/>
      <c r="H120" s="9"/>
      <c r="I120" s="10"/>
    </row>
    <row r="121" spans="1:9" x14ac:dyDescent="0.25">
      <c r="A121" s="4"/>
      <c r="B121" s="5"/>
      <c r="C121" s="6"/>
      <c r="D121" s="11"/>
      <c r="E121" s="16"/>
      <c r="F121" s="16"/>
      <c r="G121" s="147"/>
      <c r="H121" s="9"/>
      <c r="I121" s="10"/>
    </row>
    <row r="122" spans="1:9" x14ac:dyDescent="0.25">
      <c r="A122" s="4"/>
      <c r="B122" s="5"/>
      <c r="C122" s="6"/>
      <c r="D122" s="11"/>
      <c r="E122" s="16"/>
      <c r="F122" s="16"/>
      <c r="G122" s="147"/>
      <c r="H122" s="9"/>
      <c r="I122" s="10"/>
    </row>
    <row r="123" spans="1:9" x14ac:dyDescent="0.25">
      <c r="A123" s="4"/>
      <c r="B123" s="5"/>
      <c r="C123" s="6"/>
      <c r="D123" s="11"/>
      <c r="E123" s="16"/>
      <c r="F123" s="16"/>
      <c r="G123" s="147"/>
      <c r="H123" s="9"/>
      <c r="I123" s="10"/>
    </row>
    <row r="124" spans="1:9" x14ac:dyDescent="0.25">
      <c r="A124" s="4"/>
      <c r="B124" s="5"/>
      <c r="C124" s="6"/>
      <c r="D124" s="11"/>
      <c r="E124" s="16"/>
      <c r="F124" s="16"/>
      <c r="G124" s="147"/>
      <c r="H124" s="9"/>
      <c r="I124" s="10"/>
    </row>
    <row r="125" spans="1:9" x14ac:dyDescent="0.25">
      <c r="A125" s="4"/>
      <c r="B125" s="5"/>
      <c r="C125" s="6"/>
      <c r="D125" s="11"/>
      <c r="E125" s="16"/>
      <c r="F125" s="16"/>
      <c r="G125" s="147"/>
      <c r="H125" s="9"/>
      <c r="I125" s="10"/>
    </row>
    <row r="126" spans="1:9" x14ac:dyDescent="0.25">
      <c r="A126" s="4"/>
      <c r="B126" s="5"/>
      <c r="C126" s="6"/>
      <c r="D126" s="11"/>
      <c r="E126" s="16"/>
      <c r="F126" s="16"/>
      <c r="G126" s="147"/>
      <c r="H126" s="9"/>
      <c r="I126" s="10"/>
    </row>
    <row r="127" spans="1:9" x14ac:dyDescent="0.25">
      <c r="A127" s="4"/>
      <c r="B127" s="5"/>
      <c r="C127" s="6"/>
      <c r="D127" s="11"/>
      <c r="E127" s="16"/>
      <c r="F127" s="16"/>
      <c r="G127" s="147"/>
      <c r="H127" s="9"/>
      <c r="I127" s="10"/>
    </row>
    <row r="128" spans="1:9" x14ac:dyDescent="0.25">
      <c r="A128" s="4"/>
      <c r="B128" s="5"/>
      <c r="C128" s="6"/>
      <c r="D128" s="11"/>
      <c r="E128" s="16"/>
      <c r="F128" s="16"/>
      <c r="G128" s="147"/>
      <c r="H128" s="9"/>
      <c r="I128" s="10"/>
    </row>
    <row r="129" spans="1:9" x14ac:dyDescent="0.25">
      <c r="A129" s="4"/>
      <c r="B129" s="5"/>
      <c r="C129" s="6"/>
      <c r="D129" s="11"/>
      <c r="E129" s="16"/>
      <c r="F129" s="16"/>
      <c r="G129" s="147"/>
      <c r="H129" s="9"/>
      <c r="I129" s="10"/>
    </row>
    <row r="130" spans="1:9" x14ac:dyDescent="0.25">
      <c r="A130" s="4"/>
      <c r="B130" s="5"/>
      <c r="C130" s="6"/>
      <c r="D130" s="11"/>
      <c r="E130" s="16"/>
      <c r="F130" s="16"/>
      <c r="G130" s="147"/>
      <c r="H130" s="9"/>
      <c r="I130" s="10"/>
    </row>
    <row r="131" spans="1:9" x14ac:dyDescent="0.25">
      <c r="A131" s="4"/>
      <c r="B131" s="5"/>
      <c r="C131" s="6"/>
      <c r="D131" s="11"/>
      <c r="E131" s="16"/>
      <c r="F131" s="16"/>
      <c r="G131" s="147"/>
      <c r="H131" s="9"/>
      <c r="I131" s="10"/>
    </row>
    <row r="132" spans="1:9" x14ac:dyDescent="0.25">
      <c r="A132" s="4"/>
      <c r="B132" s="5"/>
      <c r="C132" s="6"/>
      <c r="D132" s="11"/>
      <c r="E132" s="16"/>
      <c r="F132" s="16"/>
      <c r="G132" s="147"/>
      <c r="H132" s="9"/>
      <c r="I132" s="10"/>
    </row>
    <row r="133" spans="1:9" ht="15.75" x14ac:dyDescent="0.25">
      <c r="A133" s="4"/>
      <c r="B133" s="5"/>
      <c r="C133" s="6"/>
      <c r="D133" s="11"/>
      <c r="E133" s="16"/>
      <c r="F133" s="180"/>
      <c r="G133" s="147"/>
      <c r="H133" s="9"/>
      <c r="I133" s="10"/>
    </row>
    <row r="134" spans="1:9" x14ac:dyDescent="0.25">
      <c r="A134" s="4"/>
      <c r="B134" s="5"/>
      <c r="C134" s="6"/>
      <c r="D134" s="11"/>
      <c r="E134" s="16"/>
      <c r="F134" s="16"/>
      <c r="G134" s="147"/>
      <c r="H134" s="9"/>
      <c r="I134" s="10"/>
    </row>
    <row r="135" spans="1:9" ht="15.75" x14ac:dyDescent="0.25">
      <c r="A135" s="4"/>
      <c r="B135" s="5"/>
      <c r="C135" s="6"/>
      <c r="D135" s="11"/>
      <c r="E135" s="16"/>
      <c r="F135" s="180"/>
      <c r="G135" s="147"/>
      <c r="H135" s="9"/>
      <c r="I135" s="10"/>
    </row>
    <row r="136" spans="1:9" x14ac:dyDescent="0.25">
      <c r="A136" s="4"/>
      <c r="B136" s="5"/>
      <c r="C136" s="6"/>
      <c r="D136" s="11"/>
      <c r="E136" s="16"/>
      <c r="F136" s="16"/>
      <c r="G136" s="147"/>
      <c r="H136" s="9"/>
      <c r="I136" s="10"/>
    </row>
    <row r="137" spans="1:9" x14ac:dyDescent="0.25">
      <c r="A137" s="4"/>
      <c r="B137" s="5"/>
      <c r="C137" s="6"/>
      <c r="D137" s="11"/>
      <c r="E137" s="16"/>
      <c r="F137" s="16"/>
      <c r="G137" s="147"/>
      <c r="H137" s="9"/>
      <c r="I137" s="10"/>
    </row>
    <row r="138" spans="1:9" x14ac:dyDescent="0.25">
      <c r="A138" s="4"/>
      <c r="B138" s="5"/>
      <c r="C138" s="6"/>
      <c r="D138" s="11"/>
      <c r="E138" s="16"/>
      <c r="F138" s="16"/>
      <c r="G138" s="147"/>
      <c r="H138" s="9"/>
      <c r="I138" s="10"/>
    </row>
    <row r="139" spans="1:9" x14ac:dyDescent="0.25">
      <c r="A139" s="4"/>
      <c r="B139" s="5"/>
      <c r="C139" s="6"/>
      <c r="D139" s="11"/>
      <c r="E139" s="16"/>
      <c r="F139" s="16"/>
      <c r="G139" s="147"/>
      <c r="H139" s="9"/>
      <c r="I139" s="10"/>
    </row>
    <row r="140" spans="1:9" x14ac:dyDescent="0.25">
      <c r="A140" s="4"/>
      <c r="B140" s="5"/>
      <c r="C140" s="6"/>
      <c r="D140" s="11"/>
      <c r="E140" s="16"/>
      <c r="F140" s="114"/>
      <c r="G140" s="147"/>
      <c r="H140" s="9"/>
      <c r="I140" s="10"/>
    </row>
    <row r="141" spans="1:9" x14ac:dyDescent="0.25">
      <c r="A141" s="4"/>
      <c r="B141" s="5"/>
      <c r="C141" s="6"/>
      <c r="D141" s="11"/>
      <c r="E141" s="16"/>
      <c r="F141" s="114"/>
      <c r="G141" s="147"/>
      <c r="H141" s="9"/>
      <c r="I141" s="10"/>
    </row>
    <row r="142" spans="1:9" x14ac:dyDescent="0.25">
      <c r="A142" s="4"/>
      <c r="B142" s="5"/>
      <c r="C142" s="6"/>
      <c r="D142" s="11"/>
      <c r="E142" s="16"/>
      <c r="F142" s="16"/>
      <c r="G142" s="147"/>
      <c r="H142" s="9"/>
      <c r="I142" s="10"/>
    </row>
    <row r="143" spans="1:9" x14ac:dyDescent="0.25">
      <c r="A143" s="4"/>
      <c r="B143" s="5"/>
      <c r="C143" s="6"/>
      <c r="D143" s="11"/>
      <c r="E143" s="16"/>
      <c r="F143" s="16"/>
      <c r="G143" s="147"/>
      <c r="H143" s="9"/>
      <c r="I143" s="10"/>
    </row>
    <row r="144" spans="1:9" x14ac:dyDescent="0.25">
      <c r="A144" s="4"/>
      <c r="B144" s="5"/>
      <c r="C144" s="6"/>
      <c r="D144" s="11"/>
      <c r="E144" s="16"/>
      <c r="F144" s="16"/>
      <c r="G144" s="147"/>
      <c r="H144" s="9"/>
      <c r="I144" s="10"/>
    </row>
    <row r="145" spans="1:9" x14ac:dyDescent="0.25">
      <c r="A145" s="4"/>
      <c r="B145" s="5"/>
      <c r="C145" s="6"/>
      <c r="D145" s="11"/>
      <c r="E145" s="121"/>
      <c r="F145" s="121"/>
      <c r="G145" s="147"/>
      <c r="H145" s="9"/>
      <c r="I145" s="10"/>
    </row>
    <row r="146" spans="1:9" x14ac:dyDescent="0.25">
      <c r="A146" s="4"/>
      <c r="B146" s="5"/>
      <c r="C146" s="6"/>
      <c r="D146" s="11"/>
      <c r="E146" s="16"/>
      <c r="F146" s="16"/>
      <c r="G146" s="147"/>
      <c r="H146" s="9"/>
      <c r="I146" s="10"/>
    </row>
    <row r="147" spans="1:9" x14ac:dyDescent="0.25">
      <c r="A147" s="4"/>
      <c r="B147" s="5"/>
      <c r="C147" s="6"/>
      <c r="D147" s="11"/>
      <c r="E147" s="16"/>
      <c r="F147" s="16"/>
      <c r="G147" s="147"/>
      <c r="H147" s="9"/>
      <c r="I147" s="10"/>
    </row>
    <row r="148" spans="1:9" x14ac:dyDescent="0.25">
      <c r="A148" s="4"/>
      <c r="B148" s="5"/>
      <c r="C148" s="6"/>
      <c r="D148" s="11"/>
      <c r="E148" s="16"/>
      <c r="F148" s="16"/>
      <c r="G148" s="147"/>
      <c r="H148" s="9"/>
      <c r="I148" s="10"/>
    </row>
    <row r="149" spans="1:9" x14ac:dyDescent="0.25">
      <c r="A149" s="4"/>
      <c r="B149" s="5"/>
      <c r="C149" s="6"/>
      <c r="D149" s="11"/>
      <c r="E149" s="16"/>
      <c r="F149" s="16"/>
      <c r="G149" s="147"/>
      <c r="H149" s="9"/>
      <c r="I149" s="10"/>
    </row>
    <row r="150" spans="1:9" x14ac:dyDescent="0.25">
      <c r="A150" s="4"/>
      <c r="B150" s="5"/>
      <c r="C150" s="6"/>
      <c r="D150" s="11"/>
      <c r="E150" s="16"/>
      <c r="F150" s="16"/>
      <c r="G150" s="147"/>
      <c r="H150" s="9"/>
      <c r="I150" s="10"/>
    </row>
    <row r="151" spans="1:9" x14ac:dyDescent="0.25">
      <c r="A151" s="4"/>
      <c r="B151" s="5"/>
      <c r="C151" s="6"/>
      <c r="D151" s="11"/>
      <c r="E151" s="16"/>
      <c r="F151" s="16"/>
      <c r="G151" s="147"/>
      <c r="H151" s="9"/>
      <c r="I151" s="10"/>
    </row>
    <row r="152" spans="1:9" x14ac:dyDescent="0.25">
      <c r="A152" s="4"/>
      <c r="B152" s="5"/>
      <c r="C152" s="6"/>
      <c r="D152" s="11"/>
      <c r="E152" s="16"/>
      <c r="F152" s="16"/>
      <c r="G152" s="147"/>
      <c r="H152" s="9"/>
      <c r="I152" s="10"/>
    </row>
    <row r="153" spans="1:9" x14ac:dyDescent="0.25">
      <c r="A153" s="4"/>
      <c r="B153" s="5"/>
      <c r="C153" s="6"/>
      <c r="D153" s="11"/>
      <c r="E153" s="221"/>
      <c r="F153" s="16"/>
      <c r="G153" s="147"/>
      <c r="H153" s="222"/>
      <c r="I153" s="10"/>
    </row>
    <row r="154" spans="1:9" x14ac:dyDescent="0.25">
      <c r="A154" s="4"/>
      <c r="B154" s="5"/>
      <c r="C154" s="6"/>
      <c r="D154" s="11"/>
      <c r="E154" s="16"/>
      <c r="F154" s="16"/>
      <c r="G154" s="147"/>
      <c r="H154" s="9"/>
      <c r="I154" s="10"/>
    </row>
    <row r="155" spans="1:9" x14ac:dyDescent="0.25">
      <c r="A155" s="4"/>
      <c r="B155" s="5"/>
      <c r="C155" s="6"/>
      <c r="D155" s="11"/>
      <c r="E155" s="16"/>
      <c r="F155" s="16"/>
      <c r="G155" s="147"/>
      <c r="H155" s="9"/>
      <c r="I155" s="10"/>
    </row>
    <row r="156" spans="1:9" x14ac:dyDescent="0.25">
      <c r="A156" s="4"/>
      <c r="B156" s="5"/>
      <c r="C156" s="6"/>
      <c r="D156" s="11"/>
      <c r="E156" s="16"/>
      <c r="F156" s="16"/>
      <c r="G156" s="147"/>
      <c r="H156" s="9"/>
      <c r="I156" s="10"/>
    </row>
    <row r="157" spans="1:9" x14ac:dyDescent="0.25">
      <c r="A157" s="4"/>
      <c r="B157" s="5"/>
      <c r="C157" s="6"/>
      <c r="D157" s="11"/>
      <c r="E157" s="16"/>
      <c r="F157" s="16"/>
      <c r="G157" s="147"/>
      <c r="H157" s="9"/>
      <c r="I157" s="10"/>
    </row>
    <row r="158" spans="1:9" x14ac:dyDescent="0.25">
      <c r="A158" s="4"/>
      <c r="B158" s="5"/>
      <c r="C158" s="6"/>
      <c r="D158" s="11"/>
      <c r="E158" s="16"/>
      <c r="F158" s="16"/>
      <c r="G158" s="147"/>
      <c r="H158" s="9"/>
      <c r="I158" s="10"/>
    </row>
    <row r="159" spans="1:9" x14ac:dyDescent="0.25">
      <c r="A159" s="4"/>
      <c r="B159" s="5"/>
      <c r="C159" s="6"/>
      <c r="D159" s="11"/>
      <c r="E159" s="16"/>
      <c r="F159" s="16"/>
      <c r="G159" s="147"/>
      <c r="H159" s="9"/>
      <c r="I159" s="10"/>
    </row>
    <row r="160" spans="1:9" x14ac:dyDescent="0.25">
      <c r="A160" s="4"/>
      <c r="B160" s="5"/>
      <c r="C160" s="6"/>
      <c r="D160" s="11"/>
      <c r="E160" s="16"/>
      <c r="F160" s="16"/>
      <c r="G160" s="147"/>
      <c r="H160" s="9"/>
      <c r="I160" s="10"/>
    </row>
    <row r="161" spans="1:9" x14ac:dyDescent="0.25">
      <c r="A161" s="4"/>
      <c r="B161" s="5"/>
      <c r="C161" s="6"/>
      <c r="D161" s="11"/>
      <c r="E161" s="16"/>
      <c r="F161" s="16"/>
      <c r="G161" s="147"/>
      <c r="H161" s="9"/>
      <c r="I161" s="10"/>
    </row>
    <row r="162" spans="1:9" ht="15.75" x14ac:dyDescent="0.25">
      <c r="A162" s="16"/>
      <c r="B162" s="132"/>
      <c r="C162" s="131"/>
      <c r="D162" s="131"/>
      <c r="E162" s="131"/>
      <c r="F162" s="133"/>
      <c r="G162" s="131"/>
      <c r="H162" s="134"/>
      <c r="I162" s="135"/>
    </row>
    <row r="163" spans="1:9" ht="15.75" x14ac:dyDescent="0.25">
      <c r="A163" s="16"/>
      <c r="B163" s="132"/>
      <c r="C163" s="131"/>
      <c r="D163" s="131"/>
      <c r="E163" s="131"/>
      <c r="F163" s="133"/>
      <c r="G163" s="131"/>
      <c r="H163" s="134"/>
      <c r="I163" s="135"/>
    </row>
    <row r="164" spans="1:9" ht="15.75" x14ac:dyDescent="0.25">
      <c r="A164" s="16"/>
      <c r="B164" s="132"/>
      <c r="C164" s="131"/>
      <c r="D164" s="131"/>
      <c r="E164" s="131"/>
      <c r="F164" s="133"/>
      <c r="G164" s="131"/>
      <c r="H164" s="134"/>
      <c r="I164" s="135"/>
    </row>
    <row r="165" spans="1:9" ht="15.75" x14ac:dyDescent="0.25">
      <c r="A165" s="16"/>
      <c r="B165" s="132"/>
      <c r="C165" s="131"/>
      <c r="D165" s="131"/>
      <c r="E165" s="131"/>
      <c r="F165" s="133"/>
      <c r="G165" s="131"/>
      <c r="H165" s="134"/>
      <c r="I165" s="135"/>
    </row>
    <row r="166" spans="1:9" ht="15.75" x14ac:dyDescent="0.25">
      <c r="A166" s="16"/>
      <c r="B166" s="132"/>
      <c r="C166" s="131"/>
      <c r="D166" s="131"/>
      <c r="E166" s="131"/>
      <c r="F166" s="133"/>
      <c r="G166" s="131"/>
      <c r="H166" s="134"/>
      <c r="I166" s="135"/>
    </row>
    <row r="167" spans="1:9" ht="15.75" x14ac:dyDescent="0.25">
      <c r="A167" s="16"/>
      <c r="B167" s="132"/>
      <c r="C167" s="131"/>
      <c r="D167" s="131"/>
      <c r="E167" s="131"/>
      <c r="F167" s="133"/>
      <c r="G167" s="131"/>
      <c r="H167" s="134"/>
      <c r="I167" s="135"/>
    </row>
    <row r="168" spans="1:9" ht="15.75" x14ac:dyDescent="0.25">
      <c r="A168" s="110" t="s">
        <v>615</v>
      </c>
      <c r="B168" s="110" t="s">
        <v>3</v>
      </c>
      <c r="C168" s="320" t="str">
        <f>C2</f>
        <v>الشهر السابع ل 2026</v>
      </c>
      <c r="D168" s="321"/>
      <c r="E168" s="321"/>
      <c r="F168" s="322"/>
      <c r="G168" s="17"/>
      <c r="H168" s="17"/>
      <c r="I168" s="17"/>
    </row>
    <row r="169" spans="1:9" ht="15.75" x14ac:dyDescent="0.25">
      <c r="A169" s="152" t="s">
        <v>625</v>
      </c>
      <c r="B169" s="7" t="s">
        <v>21</v>
      </c>
      <c r="C169" s="323"/>
      <c r="D169" s="324"/>
      <c r="E169" s="324"/>
      <c r="F169" s="325"/>
      <c r="G169" s="139" t="s">
        <v>619</v>
      </c>
      <c r="H169" s="139"/>
      <c r="I169" s="140">
        <f>SUM(I170:I211)</f>
        <v>6735000</v>
      </c>
    </row>
    <row r="170" spans="1:9" ht="15.75" x14ac:dyDescent="0.25">
      <c r="A170" s="1" t="s">
        <v>0</v>
      </c>
      <c r="B170" s="153" t="s">
        <v>1</v>
      </c>
      <c r="C170" s="110" t="s">
        <v>2</v>
      </c>
      <c r="D170" s="110" t="s">
        <v>3</v>
      </c>
      <c r="E170" s="110" t="s">
        <v>4</v>
      </c>
      <c r="F170" s="2" t="s">
        <v>5</v>
      </c>
      <c r="G170" s="110" t="s">
        <v>615</v>
      </c>
      <c r="H170" s="2" t="s">
        <v>6</v>
      </c>
      <c r="I170" s="3" t="s">
        <v>7</v>
      </c>
    </row>
    <row r="171" spans="1:9" x14ac:dyDescent="0.25">
      <c r="A171" s="4">
        <v>605</v>
      </c>
      <c r="B171" s="5" t="s">
        <v>1736</v>
      </c>
      <c r="C171" s="6">
        <v>46207</v>
      </c>
      <c r="D171" s="11" t="s">
        <v>21</v>
      </c>
      <c r="E171" s="16" t="s">
        <v>102</v>
      </c>
      <c r="F171" s="16" t="s">
        <v>103</v>
      </c>
      <c r="G171" s="147">
        <v>7</v>
      </c>
      <c r="H171" s="9"/>
      <c r="I171" s="10">
        <v>20000</v>
      </c>
    </row>
    <row r="172" spans="1:9" x14ac:dyDescent="0.25">
      <c r="A172" s="4">
        <v>614</v>
      </c>
      <c r="B172" s="5" t="s">
        <v>1754</v>
      </c>
      <c r="C172" s="6">
        <v>46212</v>
      </c>
      <c r="D172" s="11" t="s">
        <v>21</v>
      </c>
      <c r="E172" s="16" t="s">
        <v>1748</v>
      </c>
      <c r="F172" s="16" t="s">
        <v>1756</v>
      </c>
      <c r="G172" s="147">
        <v>7</v>
      </c>
      <c r="H172" s="9"/>
      <c r="I172" s="10">
        <v>1000000</v>
      </c>
    </row>
    <row r="173" spans="1:9" x14ac:dyDescent="0.25">
      <c r="A173" s="4">
        <v>615</v>
      </c>
      <c r="B173" s="5" t="s">
        <v>1757</v>
      </c>
      <c r="C173" s="6">
        <v>46212</v>
      </c>
      <c r="D173" s="11" t="s">
        <v>21</v>
      </c>
      <c r="E173" s="16" t="s">
        <v>1023</v>
      </c>
      <c r="F173" s="16" t="s">
        <v>1751</v>
      </c>
      <c r="G173" s="147">
        <v>7</v>
      </c>
      <c r="H173" s="9"/>
      <c r="I173" s="10">
        <v>15000</v>
      </c>
    </row>
    <row r="174" spans="1:9" x14ac:dyDescent="0.25">
      <c r="A174" s="4">
        <v>616</v>
      </c>
      <c r="B174" s="5" t="s">
        <v>1758</v>
      </c>
      <c r="C174" s="6">
        <v>46212</v>
      </c>
      <c r="D174" s="11" t="s">
        <v>21</v>
      </c>
      <c r="E174" s="16" t="s">
        <v>102</v>
      </c>
      <c r="F174" s="16" t="s">
        <v>1755</v>
      </c>
      <c r="G174" s="147">
        <v>7</v>
      </c>
      <c r="H174" s="9"/>
      <c r="I174" s="10">
        <v>20000</v>
      </c>
    </row>
    <row r="175" spans="1:9" x14ac:dyDescent="0.25">
      <c r="A175" s="4">
        <v>621</v>
      </c>
      <c r="B175" s="5" t="s">
        <v>1764</v>
      </c>
      <c r="C175" s="6">
        <v>46214</v>
      </c>
      <c r="D175" s="11" t="s">
        <v>21</v>
      </c>
      <c r="E175" s="16" t="s">
        <v>1011</v>
      </c>
      <c r="F175" s="16" t="s">
        <v>1767</v>
      </c>
      <c r="G175" s="147">
        <v>7</v>
      </c>
      <c r="H175" s="9"/>
      <c r="I175" s="10">
        <v>125000</v>
      </c>
    </row>
    <row r="176" spans="1:9" x14ac:dyDescent="0.25">
      <c r="A176" s="4">
        <v>634</v>
      </c>
      <c r="B176" s="5" t="s">
        <v>1785</v>
      </c>
      <c r="C176" s="6">
        <v>46216</v>
      </c>
      <c r="D176" s="11" t="s">
        <v>21</v>
      </c>
      <c r="E176" s="16" t="s">
        <v>1709</v>
      </c>
      <c r="F176" s="16" t="s">
        <v>1787</v>
      </c>
      <c r="G176" s="147">
        <v>7</v>
      </c>
      <c r="H176" s="9"/>
      <c r="I176" s="10">
        <v>25000</v>
      </c>
    </row>
    <row r="177" spans="1:9" x14ac:dyDescent="0.25">
      <c r="A177" s="4">
        <v>639</v>
      </c>
      <c r="B177" s="5" t="s">
        <v>1793</v>
      </c>
      <c r="C177" s="6">
        <v>46216</v>
      </c>
      <c r="D177" s="11" t="s">
        <v>21</v>
      </c>
      <c r="E177" s="16" t="s">
        <v>1794</v>
      </c>
      <c r="F177" s="16" t="s">
        <v>1795</v>
      </c>
      <c r="G177" s="147">
        <v>7</v>
      </c>
      <c r="H177" s="9"/>
      <c r="I177" s="10">
        <v>2000000</v>
      </c>
    </row>
    <row r="178" spans="1:9" x14ac:dyDescent="0.25">
      <c r="A178" s="4">
        <v>641</v>
      </c>
      <c r="B178" s="5" t="s">
        <v>1797</v>
      </c>
      <c r="C178" s="6">
        <v>46217</v>
      </c>
      <c r="D178" s="11" t="s">
        <v>21</v>
      </c>
      <c r="E178" s="16" t="s">
        <v>102</v>
      </c>
      <c r="F178" s="16" t="s">
        <v>103</v>
      </c>
      <c r="G178" s="147">
        <v>7</v>
      </c>
      <c r="H178" s="9"/>
      <c r="I178" s="10">
        <v>15000</v>
      </c>
    </row>
    <row r="179" spans="1:9" x14ac:dyDescent="0.25">
      <c r="A179" s="4">
        <v>651</v>
      </c>
      <c r="B179" s="5" t="s">
        <v>1814</v>
      </c>
      <c r="C179" s="6">
        <v>46221</v>
      </c>
      <c r="D179" s="11" t="s">
        <v>21</v>
      </c>
      <c r="E179" s="16" t="s">
        <v>1135</v>
      </c>
      <c r="F179" s="16" t="s">
        <v>100</v>
      </c>
      <c r="G179" s="147">
        <v>7</v>
      </c>
      <c r="H179" s="9"/>
      <c r="I179" s="10">
        <v>2500000</v>
      </c>
    </row>
    <row r="180" spans="1:9" x14ac:dyDescent="0.25">
      <c r="A180" s="4">
        <v>654</v>
      </c>
      <c r="B180" s="5" t="s">
        <v>1821</v>
      </c>
      <c r="C180" s="6">
        <v>46223</v>
      </c>
      <c r="D180" s="11" t="s">
        <v>21</v>
      </c>
      <c r="E180" s="16" t="s">
        <v>787</v>
      </c>
      <c r="F180" s="16" t="s">
        <v>1822</v>
      </c>
      <c r="G180" s="147">
        <v>7</v>
      </c>
      <c r="H180" s="9"/>
      <c r="I180" s="10">
        <v>1000000</v>
      </c>
    </row>
    <row r="181" spans="1:9" x14ac:dyDescent="0.25">
      <c r="A181" s="4">
        <v>655</v>
      </c>
      <c r="B181" s="5" t="s">
        <v>1823</v>
      </c>
      <c r="C181" s="6">
        <v>46223</v>
      </c>
      <c r="D181" s="11" t="s">
        <v>21</v>
      </c>
      <c r="E181" s="16" t="s">
        <v>102</v>
      </c>
      <c r="F181" s="16" t="s">
        <v>103</v>
      </c>
      <c r="G181" s="147">
        <v>7</v>
      </c>
      <c r="H181" s="9"/>
      <c r="I181" s="10">
        <v>15000</v>
      </c>
    </row>
    <row r="182" spans="1:9" x14ac:dyDescent="0.25">
      <c r="A182" s="4"/>
      <c r="B182" s="5"/>
      <c r="C182" s="6"/>
      <c r="D182" s="11"/>
      <c r="E182" s="16"/>
      <c r="F182" s="16"/>
      <c r="G182" s="147"/>
      <c r="H182" s="9"/>
      <c r="I182" s="10"/>
    </row>
    <row r="183" spans="1:9" x14ac:dyDescent="0.25">
      <c r="A183" s="4"/>
      <c r="B183" s="5"/>
      <c r="C183" s="6"/>
      <c r="D183" s="11"/>
      <c r="E183" s="16"/>
      <c r="F183" s="16"/>
      <c r="G183" s="147"/>
      <c r="H183" s="9"/>
      <c r="I183" s="10"/>
    </row>
    <row r="184" spans="1:9" x14ac:dyDescent="0.25">
      <c r="A184" s="4"/>
      <c r="B184" s="5"/>
      <c r="C184" s="6"/>
      <c r="D184" s="11"/>
      <c r="E184" s="16"/>
      <c r="F184" s="16"/>
      <c r="G184" s="147"/>
      <c r="H184" s="9"/>
      <c r="I184" s="10"/>
    </row>
    <row r="185" spans="1:9" x14ac:dyDescent="0.25">
      <c r="A185" s="4"/>
      <c r="B185" s="5"/>
      <c r="C185" s="6"/>
      <c r="D185" s="11"/>
      <c r="E185" s="16"/>
      <c r="F185" s="16"/>
      <c r="G185" s="147"/>
      <c r="H185" s="9"/>
      <c r="I185" s="10"/>
    </row>
    <row r="186" spans="1:9" x14ac:dyDescent="0.25">
      <c r="A186" s="4"/>
      <c r="B186" s="5"/>
      <c r="C186" s="6"/>
      <c r="D186" s="11"/>
      <c r="E186" s="16"/>
      <c r="F186" s="16"/>
      <c r="G186" s="147"/>
      <c r="H186" s="9"/>
      <c r="I186" s="10"/>
    </row>
    <row r="187" spans="1:9" x14ac:dyDescent="0.25">
      <c r="A187" s="4"/>
      <c r="B187" s="5"/>
      <c r="C187" s="6"/>
      <c r="D187" s="11"/>
      <c r="E187" s="16"/>
      <c r="F187" s="16"/>
      <c r="G187" s="147"/>
      <c r="H187" s="9"/>
      <c r="I187" s="10"/>
    </row>
    <row r="188" spans="1:9" x14ac:dyDescent="0.25">
      <c r="A188" s="4"/>
      <c r="B188" s="5"/>
      <c r="C188" s="6"/>
      <c r="D188" s="11"/>
      <c r="E188" s="16"/>
      <c r="F188" s="16"/>
      <c r="G188" s="147"/>
      <c r="H188" s="170"/>
      <c r="I188" s="10"/>
    </row>
    <row r="189" spans="1:9" x14ac:dyDescent="0.25">
      <c r="A189" s="4"/>
      <c r="B189" s="5"/>
      <c r="C189" s="6"/>
      <c r="D189" s="11"/>
      <c r="E189" s="16"/>
      <c r="F189" s="16"/>
      <c r="G189" s="147"/>
      <c r="H189" s="170"/>
      <c r="I189" s="10"/>
    </row>
    <row r="190" spans="1:9" x14ac:dyDescent="0.25">
      <c r="A190" s="4"/>
      <c r="B190" s="5"/>
      <c r="C190" s="6"/>
      <c r="D190" s="11"/>
      <c r="E190" s="16"/>
      <c r="F190" s="16"/>
      <c r="G190" s="147"/>
      <c r="H190" s="9"/>
      <c r="I190" s="10"/>
    </row>
    <row r="191" spans="1:9" x14ac:dyDescent="0.25">
      <c r="A191" s="4"/>
      <c r="B191" s="5"/>
      <c r="C191" s="6"/>
      <c r="D191" s="11"/>
      <c r="E191" s="16"/>
      <c r="F191" s="16"/>
      <c r="G191" s="147"/>
      <c r="H191" s="170"/>
      <c r="I191" s="10"/>
    </row>
    <row r="192" spans="1:9" ht="15.75" x14ac:dyDescent="0.25">
      <c r="A192" s="4"/>
      <c r="B192" s="5"/>
      <c r="C192" s="6"/>
      <c r="D192" s="11"/>
      <c r="E192" s="16"/>
      <c r="F192" s="13"/>
      <c r="G192" s="100"/>
      <c r="H192" s="9"/>
      <c r="I192" s="10"/>
    </row>
    <row r="193" spans="1:9" ht="15.75" x14ac:dyDescent="0.25">
      <c r="A193" s="4"/>
      <c r="B193" s="5"/>
      <c r="C193" s="6"/>
      <c r="D193" s="11"/>
      <c r="E193" s="16"/>
      <c r="F193" s="13"/>
      <c r="G193" s="100"/>
      <c r="H193" s="9"/>
      <c r="I193" s="10"/>
    </row>
    <row r="194" spans="1:9" ht="15.75" x14ac:dyDescent="0.25">
      <c r="A194" s="4"/>
      <c r="B194" s="5"/>
      <c r="C194" s="6"/>
      <c r="D194" s="11"/>
      <c r="E194" s="16"/>
      <c r="F194" s="13"/>
      <c r="G194" s="100"/>
      <c r="H194" s="9"/>
      <c r="I194" s="10"/>
    </row>
    <row r="195" spans="1:9" ht="15.75" x14ac:dyDescent="0.25">
      <c r="A195" s="4"/>
      <c r="B195" s="5"/>
      <c r="C195" s="6"/>
      <c r="D195" s="11"/>
      <c r="E195" s="16"/>
      <c r="F195" s="13"/>
      <c r="G195" s="100"/>
      <c r="H195" s="9"/>
      <c r="I195" s="10"/>
    </row>
    <row r="196" spans="1:9" ht="15.75" x14ac:dyDescent="0.25">
      <c r="A196" s="4"/>
      <c r="B196" s="5"/>
      <c r="C196" s="6"/>
      <c r="D196" s="11"/>
      <c r="E196" s="16"/>
      <c r="F196" s="13"/>
      <c r="G196" s="100"/>
      <c r="H196" s="9"/>
      <c r="I196" s="10"/>
    </row>
    <row r="197" spans="1:9" ht="15.75" x14ac:dyDescent="0.25">
      <c r="A197" s="4"/>
      <c r="B197" s="5"/>
      <c r="C197" s="6"/>
      <c r="D197" s="11"/>
      <c r="E197" s="16"/>
      <c r="F197" s="13"/>
      <c r="G197" s="100"/>
      <c r="H197" s="9"/>
      <c r="I197" s="10"/>
    </row>
    <row r="198" spans="1:9" ht="15.75" x14ac:dyDescent="0.25">
      <c r="A198" s="4"/>
      <c r="B198" s="5"/>
      <c r="C198" s="6"/>
      <c r="D198" s="11"/>
      <c r="E198" s="16"/>
      <c r="F198" s="13"/>
      <c r="G198" s="100"/>
      <c r="H198" s="9"/>
      <c r="I198" s="10"/>
    </row>
    <row r="199" spans="1:9" ht="15.75" x14ac:dyDescent="0.25">
      <c r="A199" s="4"/>
      <c r="B199" s="5"/>
      <c r="C199" s="6"/>
      <c r="D199" s="11"/>
      <c r="E199" s="16"/>
      <c r="F199" s="13"/>
      <c r="G199" s="100"/>
      <c r="H199" s="9"/>
      <c r="I199" s="10"/>
    </row>
    <row r="200" spans="1:9" ht="15.75" x14ac:dyDescent="0.25">
      <c r="A200" s="4"/>
      <c r="B200" s="5"/>
      <c r="C200" s="6"/>
      <c r="D200" s="11"/>
      <c r="E200" s="16"/>
      <c r="F200" s="13"/>
      <c r="G200" s="100"/>
      <c r="H200" s="9"/>
      <c r="I200" s="10"/>
    </row>
    <row r="201" spans="1:9" ht="15.75" x14ac:dyDescent="0.25">
      <c r="A201" s="4"/>
      <c r="B201" s="5"/>
      <c r="C201" s="6"/>
      <c r="D201" s="11"/>
      <c r="E201" s="16"/>
      <c r="F201" s="13"/>
      <c r="G201" s="100"/>
      <c r="H201" s="9"/>
      <c r="I201" s="10"/>
    </row>
    <row r="202" spans="1:9" ht="15.75" x14ac:dyDescent="0.25">
      <c r="A202" s="4"/>
      <c r="B202" s="5"/>
      <c r="C202" s="6"/>
      <c r="D202" s="11"/>
      <c r="E202" s="16"/>
      <c r="F202" s="13"/>
      <c r="G202" s="100"/>
      <c r="H202" s="9"/>
      <c r="I202" s="10"/>
    </row>
    <row r="203" spans="1:9" ht="15.75" x14ac:dyDescent="0.25">
      <c r="A203" s="4"/>
      <c r="B203" s="5"/>
      <c r="C203" s="6"/>
      <c r="D203" s="11"/>
      <c r="E203" s="16"/>
      <c r="F203" s="13"/>
      <c r="G203" s="100"/>
      <c r="H203" s="9"/>
      <c r="I203" s="10"/>
    </row>
    <row r="204" spans="1:9" ht="15.75" x14ac:dyDescent="0.25">
      <c r="A204" s="4"/>
      <c r="B204" s="5"/>
      <c r="C204" s="6"/>
      <c r="D204" s="11"/>
      <c r="E204" s="16"/>
      <c r="F204" s="13"/>
      <c r="G204" s="100"/>
      <c r="H204" s="9"/>
      <c r="I204" s="10"/>
    </row>
    <row r="205" spans="1:9" ht="15.75" x14ac:dyDescent="0.25">
      <c r="A205" s="4"/>
      <c r="B205" s="5"/>
      <c r="C205" s="6"/>
      <c r="D205" s="11"/>
      <c r="E205" s="16"/>
      <c r="F205" s="13"/>
      <c r="G205" s="100"/>
      <c r="H205" s="9"/>
      <c r="I205" s="10"/>
    </row>
    <row r="206" spans="1:9" ht="15.75" x14ac:dyDescent="0.25">
      <c r="A206" s="4"/>
      <c r="B206" s="5"/>
      <c r="C206" s="6"/>
      <c r="D206" s="11"/>
      <c r="E206" s="16"/>
      <c r="F206" s="13"/>
      <c r="G206" s="100"/>
      <c r="H206" s="9"/>
      <c r="I206" s="10"/>
    </row>
    <row r="207" spans="1:9" ht="15.75" x14ac:dyDescent="0.25">
      <c r="A207" s="4"/>
      <c r="B207" s="5"/>
      <c r="C207" s="6"/>
      <c r="D207" s="11"/>
      <c r="E207" s="16"/>
      <c r="F207" s="13"/>
      <c r="G207" s="100"/>
      <c r="H207" s="9"/>
      <c r="I207" s="10"/>
    </row>
    <row r="208" spans="1:9" ht="15.75" x14ac:dyDescent="0.25">
      <c r="A208" s="4"/>
      <c r="B208" s="5"/>
      <c r="C208" s="6"/>
      <c r="D208" s="11"/>
      <c r="E208" s="16"/>
      <c r="F208" s="13"/>
      <c r="G208" s="100"/>
      <c r="H208" s="9"/>
      <c r="I208" s="10"/>
    </row>
    <row r="209" spans="1:9" ht="15.75" x14ac:dyDescent="0.25">
      <c r="A209" s="4"/>
      <c r="B209" s="5"/>
      <c r="C209" s="6"/>
      <c r="D209" s="11"/>
      <c r="E209" s="16"/>
      <c r="F209" s="13"/>
      <c r="G209" s="100"/>
      <c r="H209" s="9"/>
      <c r="I209" s="10"/>
    </row>
    <row r="210" spans="1:9" ht="15.75" x14ac:dyDescent="0.25">
      <c r="A210" s="4"/>
      <c r="B210" s="5"/>
      <c r="C210" s="6"/>
      <c r="D210" s="11"/>
      <c r="E210" s="16"/>
      <c r="F210" s="13"/>
      <c r="G210" s="100"/>
      <c r="H210" s="9"/>
      <c r="I210" s="10"/>
    </row>
    <row r="211" spans="1:9" ht="15.75" x14ac:dyDescent="0.25">
      <c r="A211" s="4"/>
      <c r="B211" s="5"/>
      <c r="C211" s="6"/>
      <c r="D211" s="11"/>
      <c r="E211" s="16"/>
      <c r="F211" s="13"/>
      <c r="G211" s="100"/>
      <c r="H211" s="9"/>
      <c r="I211" s="10"/>
    </row>
    <row r="212" spans="1:9" ht="15.75" x14ac:dyDescent="0.25">
      <c r="A212" s="110" t="s">
        <v>615</v>
      </c>
      <c r="B212" s="110" t="s">
        <v>3</v>
      </c>
      <c r="C212" s="320" t="str">
        <f>C2</f>
        <v>الشهر السابع ل 2026</v>
      </c>
      <c r="D212" s="321"/>
      <c r="E212" s="321"/>
      <c r="F212" s="322"/>
      <c r="G212" s="17"/>
      <c r="H212" s="17"/>
      <c r="I212" s="17"/>
    </row>
    <row r="213" spans="1:9" ht="15.75" x14ac:dyDescent="0.25">
      <c r="A213" s="152" t="s">
        <v>625</v>
      </c>
      <c r="B213" s="11" t="s">
        <v>23</v>
      </c>
      <c r="C213" s="323"/>
      <c r="D213" s="324"/>
      <c r="E213" s="324"/>
      <c r="F213" s="325"/>
      <c r="G213" s="139" t="s">
        <v>619</v>
      </c>
      <c r="H213" s="139"/>
      <c r="I213" s="140">
        <f>SUM(I214:I237)</f>
        <v>27900000</v>
      </c>
    </row>
    <row r="214" spans="1:9" ht="15.75" x14ac:dyDescent="0.25">
      <c r="A214" s="137" t="s">
        <v>0</v>
      </c>
      <c r="B214" s="89" t="s">
        <v>1</v>
      </c>
      <c r="C214" s="90" t="s">
        <v>2</v>
      </c>
      <c r="D214" s="90" t="s">
        <v>3</v>
      </c>
      <c r="E214" s="90" t="s">
        <v>4</v>
      </c>
      <c r="F214" s="91" t="s">
        <v>5</v>
      </c>
      <c r="G214" s="90" t="s">
        <v>615</v>
      </c>
      <c r="H214" s="91" t="s">
        <v>6</v>
      </c>
      <c r="I214" s="138" t="s">
        <v>7</v>
      </c>
    </row>
    <row r="215" spans="1:9" x14ac:dyDescent="0.25">
      <c r="A215" s="4">
        <v>617</v>
      </c>
      <c r="B215" s="5" t="s">
        <v>1759</v>
      </c>
      <c r="C215" s="6">
        <v>46212</v>
      </c>
      <c r="D215" s="11" t="s">
        <v>23</v>
      </c>
      <c r="E215" s="16" t="s">
        <v>1749</v>
      </c>
      <c r="F215" s="16" t="s">
        <v>1750</v>
      </c>
      <c r="G215" s="147">
        <v>7</v>
      </c>
      <c r="H215" s="9"/>
      <c r="I215" s="10">
        <v>400000</v>
      </c>
    </row>
    <row r="216" spans="1:9" x14ac:dyDescent="0.25">
      <c r="A216" s="4">
        <v>642</v>
      </c>
      <c r="B216" s="5" t="s">
        <v>1798</v>
      </c>
      <c r="C216" s="6">
        <v>46217</v>
      </c>
      <c r="D216" s="11" t="s">
        <v>23</v>
      </c>
      <c r="E216" s="16" t="s">
        <v>1749</v>
      </c>
      <c r="F216" s="16" t="s">
        <v>841</v>
      </c>
      <c r="G216" s="147">
        <v>7</v>
      </c>
      <c r="H216" s="9"/>
      <c r="I216" s="10">
        <v>5000000</v>
      </c>
    </row>
    <row r="217" spans="1:9" x14ac:dyDescent="0.25">
      <c r="A217" s="4">
        <v>649</v>
      </c>
      <c r="B217" s="5" t="s">
        <v>1811</v>
      </c>
      <c r="C217" s="6">
        <v>46217</v>
      </c>
      <c r="D217" s="11" t="s">
        <v>23</v>
      </c>
      <c r="E217" s="16" t="s">
        <v>578</v>
      </c>
      <c r="F217" s="16" t="s">
        <v>1812</v>
      </c>
      <c r="G217" s="147">
        <v>7</v>
      </c>
      <c r="H217" s="9"/>
      <c r="I217" s="10">
        <v>22000000</v>
      </c>
    </row>
    <row r="218" spans="1:9" x14ac:dyDescent="0.25">
      <c r="A218" s="4">
        <v>659</v>
      </c>
      <c r="B218" s="5" t="s">
        <v>1831</v>
      </c>
      <c r="C218" s="6">
        <v>46224</v>
      </c>
      <c r="D218" s="11" t="s">
        <v>23</v>
      </c>
      <c r="E218" s="16" t="s">
        <v>1749</v>
      </c>
      <c r="F218" s="16" t="s">
        <v>168</v>
      </c>
      <c r="G218" s="147">
        <v>7</v>
      </c>
      <c r="H218" s="9"/>
      <c r="I218" s="10">
        <v>500000</v>
      </c>
    </row>
    <row r="219" spans="1:9" x14ac:dyDescent="0.25">
      <c r="A219" s="4"/>
      <c r="B219" s="5"/>
      <c r="C219" s="6"/>
      <c r="D219" s="11"/>
      <c r="E219" s="16"/>
      <c r="F219" s="16"/>
      <c r="G219" s="147"/>
      <c r="H219" s="9"/>
      <c r="I219" s="10"/>
    </row>
    <row r="220" spans="1:9" x14ac:dyDescent="0.25">
      <c r="A220" s="4"/>
      <c r="B220" s="5"/>
      <c r="C220" s="6"/>
      <c r="D220" s="11"/>
      <c r="E220" s="16"/>
      <c r="F220" s="16"/>
      <c r="G220" s="147"/>
      <c r="H220" s="9"/>
      <c r="I220" s="10"/>
    </row>
    <row r="221" spans="1:9" x14ac:dyDescent="0.25">
      <c r="A221" s="4"/>
      <c r="B221" s="5"/>
      <c r="C221" s="6"/>
      <c r="D221" s="11"/>
      <c r="E221" s="16"/>
      <c r="F221" s="16"/>
      <c r="G221" s="147"/>
      <c r="H221" s="9"/>
      <c r="I221" s="10"/>
    </row>
    <row r="222" spans="1:9" x14ac:dyDescent="0.25">
      <c r="A222" s="4"/>
      <c r="B222" s="5"/>
      <c r="C222" s="6"/>
      <c r="D222" s="11"/>
      <c r="E222" s="16"/>
      <c r="F222" s="16"/>
      <c r="G222" s="147"/>
      <c r="H222" s="9"/>
      <c r="I222" s="10"/>
    </row>
    <row r="223" spans="1:9" x14ac:dyDescent="0.25">
      <c r="A223" s="4"/>
      <c r="B223" s="5"/>
      <c r="C223" s="6"/>
      <c r="D223" s="11"/>
      <c r="E223" s="16"/>
      <c r="F223" s="16"/>
      <c r="G223" s="147"/>
      <c r="H223" s="9"/>
      <c r="I223" s="10"/>
    </row>
    <row r="224" spans="1:9" ht="15.75" x14ac:dyDescent="0.25">
      <c r="A224" s="4"/>
      <c r="B224" s="5"/>
      <c r="C224" s="6"/>
      <c r="D224" s="11"/>
      <c r="E224" s="16"/>
      <c r="F224" s="13"/>
      <c r="G224" s="100"/>
      <c r="H224" s="9"/>
      <c r="I224" s="10"/>
    </row>
    <row r="225" spans="1:9" ht="15.75" x14ac:dyDescent="0.25">
      <c r="A225" s="4"/>
      <c r="B225" s="5"/>
      <c r="C225" s="6"/>
      <c r="D225" s="11"/>
      <c r="E225" s="16"/>
      <c r="F225" s="13"/>
      <c r="G225" s="100"/>
      <c r="H225" s="9"/>
      <c r="I225" s="10"/>
    </row>
    <row r="226" spans="1:9" ht="15.75" x14ac:dyDescent="0.25">
      <c r="A226" s="4"/>
      <c r="B226" s="5"/>
      <c r="C226" s="6"/>
      <c r="D226" s="11"/>
      <c r="E226" s="16"/>
      <c r="F226" s="13"/>
      <c r="G226" s="100"/>
      <c r="H226" s="9"/>
      <c r="I226" s="10"/>
    </row>
    <row r="227" spans="1:9" ht="15.75" x14ac:dyDescent="0.25">
      <c r="A227" s="4"/>
      <c r="B227" s="5"/>
      <c r="C227" s="6"/>
      <c r="D227" s="11"/>
      <c r="E227" s="16"/>
      <c r="F227" s="13"/>
      <c r="G227" s="100"/>
      <c r="H227" s="9"/>
      <c r="I227" s="10"/>
    </row>
    <row r="228" spans="1:9" ht="15.75" x14ac:dyDescent="0.25">
      <c r="A228" s="4"/>
      <c r="B228" s="5"/>
      <c r="C228" s="6"/>
      <c r="D228" s="11"/>
      <c r="E228" s="16"/>
      <c r="F228" s="13"/>
      <c r="G228" s="100"/>
      <c r="H228" s="9"/>
      <c r="I228" s="10"/>
    </row>
    <row r="229" spans="1:9" ht="15.75" x14ac:dyDescent="0.25">
      <c r="A229" s="4"/>
      <c r="B229" s="5"/>
      <c r="C229" s="6"/>
      <c r="D229" s="11"/>
      <c r="E229" s="16"/>
      <c r="F229" s="13"/>
      <c r="G229" s="100"/>
      <c r="H229" s="9"/>
      <c r="I229" s="10"/>
    </row>
    <row r="230" spans="1:9" ht="15.75" x14ac:dyDescent="0.25">
      <c r="A230" s="4"/>
      <c r="B230" s="5"/>
      <c r="C230" s="6"/>
      <c r="D230" s="11"/>
      <c r="E230" s="16"/>
      <c r="F230" s="13"/>
      <c r="G230" s="100"/>
      <c r="H230" s="9"/>
      <c r="I230" s="10"/>
    </row>
    <row r="231" spans="1:9" ht="15.75" x14ac:dyDescent="0.25">
      <c r="A231" s="4"/>
      <c r="B231" s="5"/>
      <c r="C231" s="6"/>
      <c r="D231" s="11"/>
      <c r="E231" s="16"/>
      <c r="F231" s="13"/>
      <c r="G231" s="100"/>
      <c r="H231" s="9"/>
      <c r="I231" s="10"/>
    </row>
    <row r="232" spans="1:9" ht="15.75" x14ac:dyDescent="0.25">
      <c r="A232" s="4"/>
      <c r="B232" s="5"/>
      <c r="C232" s="6"/>
      <c r="D232" s="11"/>
      <c r="E232" s="16"/>
      <c r="F232" s="13"/>
      <c r="G232" s="100"/>
      <c r="H232" s="9"/>
      <c r="I232" s="10"/>
    </row>
    <row r="233" spans="1:9" ht="15.75" x14ac:dyDescent="0.25">
      <c r="A233" s="4"/>
      <c r="B233" s="5"/>
      <c r="C233" s="6"/>
      <c r="D233" s="11"/>
      <c r="E233" s="16"/>
      <c r="F233" s="13"/>
      <c r="G233" s="100"/>
      <c r="H233" s="9"/>
      <c r="I233" s="10"/>
    </row>
    <row r="234" spans="1:9" ht="15.75" x14ac:dyDescent="0.25">
      <c r="A234" s="4"/>
      <c r="B234" s="5"/>
      <c r="C234" s="6"/>
      <c r="D234" s="11"/>
      <c r="E234" s="16"/>
      <c r="F234" s="13"/>
      <c r="G234" s="100"/>
      <c r="H234" s="9"/>
      <c r="I234" s="10"/>
    </row>
    <row r="235" spans="1:9" ht="15.75" x14ac:dyDescent="0.25">
      <c r="A235" s="4"/>
      <c r="B235" s="5"/>
      <c r="C235" s="6"/>
      <c r="D235" s="11"/>
      <c r="E235" s="16"/>
      <c r="F235" s="13"/>
      <c r="G235" s="100"/>
      <c r="H235" s="9"/>
      <c r="I235" s="10"/>
    </row>
    <row r="236" spans="1:9" ht="15.75" x14ac:dyDescent="0.25">
      <c r="A236" s="4"/>
      <c r="B236" s="5"/>
      <c r="C236" s="6"/>
      <c r="D236" s="11"/>
      <c r="E236" s="16"/>
      <c r="F236" s="13"/>
      <c r="G236" s="100"/>
      <c r="H236" s="9"/>
      <c r="I236" s="10"/>
    </row>
    <row r="237" spans="1:9" ht="15.75" x14ac:dyDescent="0.25">
      <c r="A237" s="4"/>
      <c r="B237" s="5"/>
      <c r="C237" s="6"/>
      <c r="D237" s="11"/>
      <c r="E237" s="16"/>
      <c r="F237" s="13"/>
      <c r="G237" s="100"/>
      <c r="H237" s="9"/>
      <c r="I237" s="10"/>
    </row>
    <row r="238" spans="1:9" ht="15.75" x14ac:dyDescent="0.25">
      <c r="A238" s="110" t="s">
        <v>615</v>
      </c>
      <c r="B238" s="110" t="s">
        <v>3</v>
      </c>
      <c r="C238" s="320" t="str">
        <f>C2</f>
        <v>الشهر السابع ل 2026</v>
      </c>
      <c r="D238" s="321"/>
      <c r="E238" s="321"/>
      <c r="F238" s="322"/>
      <c r="G238" s="17"/>
      <c r="H238" s="17"/>
      <c r="I238" s="17"/>
    </row>
    <row r="239" spans="1:9" ht="15.75" x14ac:dyDescent="0.25">
      <c r="A239" s="152" t="s">
        <v>625</v>
      </c>
      <c r="B239" s="7" t="s">
        <v>587</v>
      </c>
      <c r="C239" s="323"/>
      <c r="D239" s="324"/>
      <c r="E239" s="324"/>
      <c r="F239" s="325"/>
      <c r="G239" s="139" t="s">
        <v>619</v>
      </c>
      <c r="H239" s="139"/>
      <c r="I239" s="140">
        <f>SUM(I241:I268)</f>
        <v>11200000</v>
      </c>
    </row>
    <row r="240" spans="1:9" ht="15.75" x14ac:dyDescent="0.25">
      <c r="A240" s="1" t="s">
        <v>0</v>
      </c>
      <c r="B240" s="153" t="s">
        <v>1</v>
      </c>
      <c r="C240" s="110" t="s">
        <v>2</v>
      </c>
      <c r="D240" s="110" t="s">
        <v>3</v>
      </c>
      <c r="E240" s="110" t="s">
        <v>4</v>
      </c>
      <c r="F240" s="2" t="s">
        <v>5</v>
      </c>
      <c r="G240" s="110" t="s">
        <v>615</v>
      </c>
      <c r="H240" s="2" t="s">
        <v>6</v>
      </c>
      <c r="I240" s="3" t="s">
        <v>7</v>
      </c>
    </row>
    <row r="241" spans="1:10" x14ac:dyDescent="0.25">
      <c r="A241" s="4">
        <v>609</v>
      </c>
      <c r="B241" s="5" t="s">
        <v>1744</v>
      </c>
      <c r="C241" s="6">
        <v>46210</v>
      </c>
      <c r="D241" s="11" t="s">
        <v>587</v>
      </c>
      <c r="E241" s="16" t="s">
        <v>1644</v>
      </c>
      <c r="F241" s="16" t="s">
        <v>1747</v>
      </c>
      <c r="G241" s="147">
        <v>7</v>
      </c>
      <c r="H241" s="9"/>
      <c r="I241" s="10">
        <v>650000</v>
      </c>
      <c r="J241" s="19">
        <v>1</v>
      </c>
    </row>
    <row r="242" spans="1:10" x14ac:dyDescent="0.25">
      <c r="A242" s="4">
        <v>610</v>
      </c>
      <c r="B242" s="5" t="s">
        <v>1745</v>
      </c>
      <c r="C242" s="6">
        <v>46210</v>
      </c>
      <c r="D242" s="11" t="s">
        <v>587</v>
      </c>
      <c r="E242" s="16" t="s">
        <v>1253</v>
      </c>
      <c r="F242" s="16" t="s">
        <v>1747</v>
      </c>
      <c r="G242" s="147">
        <v>7</v>
      </c>
      <c r="H242" s="9"/>
      <c r="I242" s="10">
        <v>500000</v>
      </c>
      <c r="J242" s="19">
        <v>2</v>
      </c>
    </row>
    <row r="243" spans="1:10" x14ac:dyDescent="0.25">
      <c r="A243" s="4">
        <v>611</v>
      </c>
      <c r="B243" s="5" t="s">
        <v>1746</v>
      </c>
      <c r="C243" s="6">
        <v>46210</v>
      </c>
      <c r="D243" s="11" t="s">
        <v>587</v>
      </c>
      <c r="E243" s="16" t="s">
        <v>59</v>
      </c>
      <c r="F243" s="16" t="s">
        <v>1747</v>
      </c>
      <c r="G243" s="147">
        <v>7</v>
      </c>
      <c r="H243" s="9"/>
      <c r="I243" s="10">
        <v>650000</v>
      </c>
      <c r="J243" s="19">
        <v>3</v>
      </c>
    </row>
    <row r="244" spans="1:10" x14ac:dyDescent="0.25">
      <c r="A244" s="4">
        <v>612</v>
      </c>
      <c r="B244" s="5" t="s">
        <v>1752</v>
      </c>
      <c r="C244" s="6">
        <v>46212</v>
      </c>
      <c r="D244" s="11" t="s">
        <v>587</v>
      </c>
      <c r="E244" s="16" t="s">
        <v>989</v>
      </c>
      <c r="F244" s="16" t="s">
        <v>1747</v>
      </c>
      <c r="G244" s="147">
        <v>7</v>
      </c>
      <c r="H244" s="9"/>
      <c r="I244" s="10">
        <v>500000</v>
      </c>
      <c r="J244" s="19">
        <v>4</v>
      </c>
    </row>
    <row r="245" spans="1:10" x14ac:dyDescent="0.25">
      <c r="A245" s="4">
        <v>613</v>
      </c>
      <c r="B245" s="5" t="s">
        <v>1753</v>
      </c>
      <c r="C245" s="6">
        <v>46212</v>
      </c>
      <c r="D245" s="11" t="s">
        <v>587</v>
      </c>
      <c r="E245" s="16" t="s">
        <v>1023</v>
      </c>
      <c r="F245" s="16" t="s">
        <v>1747</v>
      </c>
      <c r="G245" s="147">
        <v>7</v>
      </c>
      <c r="H245" s="9"/>
      <c r="I245" s="10">
        <v>500000</v>
      </c>
      <c r="J245" s="19">
        <v>5</v>
      </c>
    </row>
    <row r="246" spans="1:10" x14ac:dyDescent="0.25">
      <c r="A246" s="4">
        <v>618</v>
      </c>
      <c r="B246" s="5" t="s">
        <v>1760</v>
      </c>
      <c r="C246" s="6">
        <v>46214</v>
      </c>
      <c r="D246" s="11" t="s">
        <v>587</v>
      </c>
      <c r="E246" s="16" t="s">
        <v>97</v>
      </c>
      <c r="F246" s="16" t="s">
        <v>1747</v>
      </c>
      <c r="G246" s="147">
        <v>7</v>
      </c>
      <c r="H246" s="9"/>
      <c r="I246" s="10">
        <v>1000000</v>
      </c>
      <c r="J246" s="19">
        <v>6</v>
      </c>
    </row>
    <row r="247" spans="1:10" x14ac:dyDescent="0.25">
      <c r="A247" s="4">
        <v>619</v>
      </c>
      <c r="B247" s="5" t="s">
        <v>1761</v>
      </c>
      <c r="C247" s="6">
        <v>46214</v>
      </c>
      <c r="D247" s="11" t="s">
        <v>587</v>
      </c>
      <c r="E247" s="16" t="s">
        <v>1762</v>
      </c>
      <c r="F247" s="16" t="s">
        <v>1747</v>
      </c>
      <c r="G247" s="147">
        <v>7</v>
      </c>
      <c r="H247" s="9"/>
      <c r="I247" s="10">
        <v>500000</v>
      </c>
      <c r="J247" s="19">
        <v>7</v>
      </c>
    </row>
    <row r="248" spans="1:10" x14ac:dyDescent="0.25">
      <c r="A248" s="4">
        <v>626</v>
      </c>
      <c r="B248" s="5" t="s">
        <v>1773</v>
      </c>
      <c r="C248" s="6">
        <v>46216</v>
      </c>
      <c r="D248" s="11" t="s">
        <v>587</v>
      </c>
      <c r="E248" s="16" t="s">
        <v>25</v>
      </c>
      <c r="F248" s="16" t="s">
        <v>1747</v>
      </c>
      <c r="G248" s="147">
        <v>7</v>
      </c>
      <c r="H248" s="9"/>
      <c r="I248" s="10">
        <v>450000</v>
      </c>
      <c r="J248" s="19">
        <v>8</v>
      </c>
    </row>
    <row r="249" spans="1:10" x14ac:dyDescent="0.25">
      <c r="A249" s="4">
        <v>627</v>
      </c>
      <c r="B249" s="5" t="s">
        <v>1774</v>
      </c>
      <c r="C249" s="6">
        <v>46216</v>
      </c>
      <c r="D249" s="11" t="s">
        <v>587</v>
      </c>
      <c r="E249" s="16" t="s">
        <v>1378</v>
      </c>
      <c r="F249" s="16" t="s">
        <v>1747</v>
      </c>
      <c r="G249" s="147">
        <v>7</v>
      </c>
      <c r="H249" s="9"/>
      <c r="I249" s="10">
        <v>500000</v>
      </c>
      <c r="J249" s="19">
        <v>9</v>
      </c>
    </row>
    <row r="250" spans="1:10" x14ac:dyDescent="0.25">
      <c r="A250" s="4">
        <v>629</v>
      </c>
      <c r="B250" s="5" t="s">
        <v>1777</v>
      </c>
      <c r="C250" s="6">
        <v>46216</v>
      </c>
      <c r="D250" s="11" t="s">
        <v>587</v>
      </c>
      <c r="E250" s="16" t="s">
        <v>1276</v>
      </c>
      <c r="F250" s="16" t="s">
        <v>1747</v>
      </c>
      <c r="G250" s="147">
        <v>7</v>
      </c>
      <c r="H250" s="9"/>
      <c r="I250" s="10">
        <v>700000</v>
      </c>
      <c r="J250" s="19">
        <v>10</v>
      </c>
    </row>
    <row r="251" spans="1:10" x14ac:dyDescent="0.25">
      <c r="A251" s="4">
        <v>630</v>
      </c>
      <c r="B251" s="5" t="s">
        <v>1778</v>
      </c>
      <c r="C251" s="6">
        <v>46216</v>
      </c>
      <c r="D251" s="11" t="s">
        <v>587</v>
      </c>
      <c r="E251" s="16" t="s">
        <v>1709</v>
      </c>
      <c r="F251" s="16" t="s">
        <v>1747</v>
      </c>
      <c r="G251" s="147">
        <v>7</v>
      </c>
      <c r="H251" s="9"/>
      <c r="I251" s="10">
        <v>350000</v>
      </c>
      <c r="J251" s="19">
        <v>11</v>
      </c>
    </row>
    <row r="252" spans="1:10" x14ac:dyDescent="0.25">
      <c r="A252" s="4">
        <v>635</v>
      </c>
      <c r="B252" s="5" t="s">
        <v>1789</v>
      </c>
      <c r="C252" s="6">
        <v>46216</v>
      </c>
      <c r="D252" s="11" t="s">
        <v>587</v>
      </c>
      <c r="E252" s="16" t="s">
        <v>132</v>
      </c>
      <c r="F252" s="16" t="s">
        <v>1747</v>
      </c>
      <c r="G252" s="147">
        <v>7</v>
      </c>
      <c r="H252" s="9"/>
      <c r="I252" s="10">
        <v>2000000</v>
      </c>
      <c r="J252" s="19">
        <v>12</v>
      </c>
    </row>
    <row r="253" spans="1:10" x14ac:dyDescent="0.25">
      <c r="A253" s="4">
        <v>637</v>
      </c>
      <c r="B253" s="5" t="s">
        <v>1791</v>
      </c>
      <c r="C253" s="6">
        <v>46216</v>
      </c>
      <c r="D253" s="11" t="s">
        <v>587</v>
      </c>
      <c r="E253" s="16" t="s">
        <v>92</v>
      </c>
      <c r="F253" s="16" t="s">
        <v>1747</v>
      </c>
      <c r="G253" s="147">
        <v>7</v>
      </c>
      <c r="H253" s="9"/>
      <c r="I253" s="10">
        <v>1500000</v>
      </c>
      <c r="J253" s="19">
        <v>13</v>
      </c>
    </row>
    <row r="254" spans="1:10" x14ac:dyDescent="0.25">
      <c r="A254" s="4">
        <v>638</v>
      </c>
      <c r="B254" s="5" t="s">
        <v>1792</v>
      </c>
      <c r="C254" s="6">
        <v>46216</v>
      </c>
      <c r="D254" s="11" t="s">
        <v>587</v>
      </c>
      <c r="E254" s="16" t="s">
        <v>161</v>
      </c>
      <c r="F254" s="16" t="s">
        <v>1747</v>
      </c>
      <c r="G254" s="147">
        <v>7</v>
      </c>
      <c r="H254" s="9"/>
      <c r="I254" s="10">
        <v>600000</v>
      </c>
      <c r="J254" s="19">
        <v>14</v>
      </c>
    </row>
    <row r="255" spans="1:10" x14ac:dyDescent="0.25">
      <c r="A255" s="4">
        <v>643</v>
      </c>
      <c r="B255" s="5" t="s">
        <v>1799</v>
      </c>
      <c r="C255" s="6">
        <v>46217</v>
      </c>
      <c r="D255" s="11" t="s">
        <v>587</v>
      </c>
      <c r="E255" s="16" t="s">
        <v>1656</v>
      </c>
      <c r="F255" s="16" t="s">
        <v>1747</v>
      </c>
      <c r="G255" s="147">
        <v>7</v>
      </c>
      <c r="H255" s="9"/>
      <c r="I255" s="10">
        <v>800000</v>
      </c>
      <c r="J255" s="19">
        <v>15</v>
      </c>
    </row>
    <row r="256" spans="1:10" x14ac:dyDescent="0.25">
      <c r="A256" s="4"/>
      <c r="B256" s="5"/>
      <c r="C256" s="6"/>
      <c r="D256" s="11"/>
      <c r="E256" s="16"/>
      <c r="F256" s="16"/>
      <c r="G256" s="147"/>
      <c r="H256" s="9"/>
      <c r="I256" s="10"/>
      <c r="J256" s="19">
        <v>16</v>
      </c>
    </row>
    <row r="257" spans="1:10" x14ac:dyDescent="0.25">
      <c r="A257" s="4"/>
      <c r="B257" s="5"/>
      <c r="C257" s="6"/>
      <c r="D257" s="11"/>
      <c r="E257" s="16"/>
      <c r="F257" s="16"/>
      <c r="G257" s="147"/>
      <c r="H257" s="9"/>
      <c r="I257" s="10"/>
      <c r="J257" s="19">
        <v>17</v>
      </c>
    </row>
    <row r="258" spans="1:10" x14ac:dyDescent="0.25">
      <c r="A258" s="4"/>
      <c r="B258" s="5"/>
      <c r="C258" s="6"/>
      <c r="D258" s="11"/>
      <c r="E258" s="16"/>
      <c r="F258" s="16"/>
      <c r="G258" s="147"/>
      <c r="H258" s="9"/>
      <c r="I258" s="10"/>
      <c r="J258" s="19">
        <v>18</v>
      </c>
    </row>
    <row r="259" spans="1:10" ht="15.75" x14ac:dyDescent="0.25">
      <c r="A259" s="4"/>
      <c r="B259" s="5"/>
      <c r="C259" s="6"/>
      <c r="D259" s="11"/>
      <c r="E259" s="16"/>
      <c r="F259" s="13"/>
      <c r="G259" s="100"/>
      <c r="H259" s="9"/>
      <c r="I259" s="10"/>
    </row>
    <row r="260" spans="1:10" ht="15.75" x14ac:dyDescent="0.25">
      <c r="A260" s="4"/>
      <c r="B260" s="5"/>
      <c r="C260" s="6"/>
      <c r="D260" s="11"/>
      <c r="E260" s="16"/>
      <c r="F260" s="13"/>
      <c r="G260" s="100"/>
      <c r="H260" s="9"/>
      <c r="I260" s="10"/>
    </row>
    <row r="261" spans="1:10" ht="15.75" x14ac:dyDescent="0.25">
      <c r="A261" s="4"/>
      <c r="B261" s="5"/>
      <c r="C261" s="6"/>
      <c r="D261" s="11"/>
      <c r="E261" s="16"/>
      <c r="F261" s="13"/>
      <c r="G261" s="100"/>
      <c r="H261" s="9"/>
      <c r="I261" s="10"/>
    </row>
    <row r="262" spans="1:10" ht="15.75" x14ac:dyDescent="0.25">
      <c r="A262" s="4"/>
      <c r="B262" s="5"/>
      <c r="C262" s="6"/>
      <c r="D262" s="11"/>
      <c r="E262" s="16"/>
      <c r="F262" s="13"/>
      <c r="G262" s="100"/>
      <c r="H262" s="9"/>
      <c r="I262" s="10"/>
    </row>
    <row r="263" spans="1:10" ht="15.75" x14ac:dyDescent="0.25">
      <c r="A263" s="4"/>
      <c r="B263" s="5"/>
      <c r="C263" s="6"/>
      <c r="D263" s="11"/>
      <c r="E263" s="16"/>
      <c r="F263" s="13"/>
      <c r="G263" s="100"/>
      <c r="H263" s="9"/>
      <c r="I263" s="10"/>
    </row>
    <row r="264" spans="1:10" ht="15.75" x14ac:dyDescent="0.25">
      <c r="A264" s="4"/>
      <c r="B264" s="5"/>
      <c r="C264" s="6"/>
      <c r="D264" s="11"/>
      <c r="E264" s="16"/>
      <c r="F264" s="13"/>
      <c r="G264" s="100"/>
      <c r="H264" s="9"/>
      <c r="I264" s="10"/>
    </row>
    <row r="265" spans="1:10" ht="15.75" x14ac:dyDescent="0.25">
      <c r="A265" s="4"/>
      <c r="B265" s="5"/>
      <c r="C265" s="6"/>
      <c r="D265" s="11"/>
      <c r="E265" s="16"/>
      <c r="F265" s="13"/>
      <c r="G265" s="100"/>
      <c r="H265" s="9"/>
      <c r="I265" s="10"/>
    </row>
    <row r="266" spans="1:10" ht="15.75" x14ac:dyDescent="0.25">
      <c r="A266" s="4"/>
      <c r="B266" s="5"/>
      <c r="C266" s="6"/>
      <c r="D266" s="11"/>
      <c r="E266" s="16"/>
      <c r="F266" s="13"/>
      <c r="G266" s="100"/>
      <c r="H266" s="9"/>
      <c r="I266" s="10"/>
    </row>
    <row r="267" spans="1:10" ht="15.75" x14ac:dyDescent="0.25">
      <c r="A267" s="4"/>
      <c r="B267" s="5"/>
      <c r="C267" s="6"/>
      <c r="D267" s="11"/>
      <c r="E267" s="16"/>
      <c r="F267" s="13"/>
      <c r="G267" s="100"/>
      <c r="H267" s="9"/>
      <c r="I267" s="10"/>
    </row>
    <row r="268" spans="1:10" ht="15.75" x14ac:dyDescent="0.25">
      <c r="A268" s="4"/>
      <c r="B268" s="5"/>
      <c r="C268" s="6"/>
      <c r="D268" s="11"/>
      <c r="E268" s="16"/>
      <c r="F268" s="13"/>
      <c r="G268" s="100"/>
      <c r="H268" s="9"/>
      <c r="I268" s="10"/>
    </row>
    <row r="292" ht="18" customHeight="1" x14ac:dyDescent="0.25"/>
    <row r="309" ht="13.5" customHeight="1" x14ac:dyDescent="0.25"/>
  </sheetData>
  <dataConsolidate/>
  <mergeCells count="33">
    <mergeCell ref="C1:G1"/>
    <mergeCell ref="C2:F3"/>
    <mergeCell ref="G2:H3"/>
    <mergeCell ref="H1:I1"/>
    <mergeCell ref="I2:I3"/>
    <mergeCell ref="K18:L18"/>
    <mergeCell ref="J2:J3"/>
    <mergeCell ref="K4:M4"/>
    <mergeCell ref="C212:F213"/>
    <mergeCell ref="C238:F239"/>
    <mergeCell ref="C85:F86"/>
    <mergeCell ref="C168:F169"/>
    <mergeCell ref="ABF4:ABG5"/>
    <mergeCell ref="ABH4:ABH5"/>
    <mergeCell ref="ANN63:ANQ63"/>
    <mergeCell ref="O4:Q4"/>
    <mergeCell ref="O12:Q12"/>
    <mergeCell ref="O10:P10"/>
    <mergeCell ref="O16:P16"/>
    <mergeCell ref="O19:P19"/>
    <mergeCell ref="T39:V39"/>
    <mergeCell ref="T53:U53"/>
    <mergeCell ref="X4:Z4"/>
    <mergeCell ref="X16:Y16"/>
    <mergeCell ref="T4:V4"/>
    <mergeCell ref="T16:U16"/>
    <mergeCell ref="ABB4:ABE5"/>
    <mergeCell ref="X39:Z39"/>
    <mergeCell ref="X53:Y53"/>
    <mergeCell ref="T22:V22"/>
    <mergeCell ref="T32:U32"/>
    <mergeCell ref="X22:Z22"/>
    <mergeCell ref="X32:Y32"/>
  </mergeCells>
  <phoneticPr fontId="38" type="noConversion"/>
  <conditionalFormatting sqref="B16:B84 B4:B12 B87:B167 B170">
    <cfRule type="duplicateValues" dxfId="17" priority="30"/>
  </conditionalFormatting>
  <conditionalFormatting sqref="B214">
    <cfRule type="duplicateValues" dxfId="16" priority="15"/>
  </conditionalFormatting>
  <conditionalFormatting sqref="B240">
    <cfRule type="duplicateValues" dxfId="15" priority="14"/>
  </conditionalFormatting>
  <conditionalFormatting sqref="AAX20:AAX21 ABD22:ABD24 ABA25:ABA31 ABA6:ABA15 ABA18:ABA19 AAT16:AAT17">
    <cfRule type="duplicateValues" dxfId="14" priority="11"/>
  </conditionalFormatting>
  <conditionalFormatting sqref="ANM64">
    <cfRule type="duplicateValues" dxfId="13" priority="10"/>
  </conditionalFormatting>
  <conditionalFormatting sqref="O7:O8">
    <cfRule type="duplicateValues" dxfId="12" priority="9"/>
  </conditionalFormatting>
  <conditionalFormatting sqref="O9">
    <cfRule type="duplicateValues" dxfId="11" priority="8"/>
  </conditionalFormatting>
  <pageMargins left="0.25" right="0.25" top="0.75" bottom="0.75" header="0.3" footer="0.3"/>
  <pageSetup paperSize="9" scale="10" fitToHeight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28575</xdr:colOff>
                    <xdr:row>1</xdr:row>
                    <xdr:rowOff>28575</xdr:rowOff>
                  </from>
                  <to>
                    <xdr:col>9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5" name="Button 31">
              <controlPr defaultSize="0" print="0" autoFill="0" autoPict="0" macro="[0]!Macro2">
                <anchor moveWithCells="1" sizeWithCells="1">
                  <from>
                    <xdr:col>9</xdr:col>
                    <xdr:colOff>19050</xdr:colOff>
                    <xdr:row>85</xdr:row>
                    <xdr:rowOff>47625</xdr:rowOff>
                  </from>
                  <to>
                    <xdr:col>10</xdr:col>
                    <xdr:colOff>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6" name="Button 32">
              <controlPr defaultSize="0" print="0" autoFill="0" autoPict="0" macro="[0]!Macro3">
                <anchor moveWithCells="1" sizeWithCells="1">
                  <from>
                    <xdr:col>9</xdr:col>
                    <xdr:colOff>9525</xdr:colOff>
                    <xdr:row>168</xdr:row>
                    <xdr:rowOff>0</xdr:rowOff>
                  </from>
                  <to>
                    <xdr:col>10</xdr:col>
                    <xdr:colOff>0</xdr:colOff>
                    <xdr:row>170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7" name="Button 33">
              <controlPr defaultSize="0" print="0" autoFill="0" autoPict="0" macro="[0]!Macro4">
                <anchor moveWithCells="1" sizeWithCells="1">
                  <from>
                    <xdr:col>9</xdr:col>
                    <xdr:colOff>19050</xdr:colOff>
                    <xdr:row>212</xdr:row>
                    <xdr:rowOff>38100</xdr:rowOff>
                  </from>
                  <to>
                    <xdr:col>9</xdr:col>
                    <xdr:colOff>581025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8" name="Button 34">
              <controlPr defaultSize="0" print="0" autoFill="0" autoPict="0" macro="[0]!Macro5">
                <anchor moveWithCells="1" sizeWithCells="1">
                  <from>
                    <xdr:col>9</xdr:col>
                    <xdr:colOff>9525</xdr:colOff>
                    <xdr:row>238</xdr:row>
                    <xdr:rowOff>47625</xdr:rowOff>
                  </from>
                  <to>
                    <xdr:col>9</xdr:col>
                    <xdr:colOff>571500</xdr:colOff>
                    <xdr:row>240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76CA45-0FF7-4E67-B1B2-25A2AA3040BA}">
          <x14:formula1>
            <xm:f>'ابو مرتضى'!$AC$4:$AC$15</xm:f>
          </x14:formula1>
          <xm:sqref>A2:A3 ANL63 AAZ4:AAZ5 A239 A213 A169 A86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دفعات المستفيدين</vt:lpstr>
      <vt:lpstr>Company accounts</vt:lpstr>
      <vt:lpstr>Transfer</vt:lpstr>
      <vt:lpstr>رصيد قاصة</vt:lpstr>
      <vt:lpstr>ابو مرتضى</vt:lpstr>
      <vt:lpstr>filter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PC1</dc:creator>
  <cp:lastModifiedBy>Mohamed PC1</cp:lastModifiedBy>
  <cp:lastPrinted>2026-08-19T16:17:40Z</cp:lastPrinted>
  <dcterms:created xsi:type="dcterms:W3CDTF">2026-01-22T15:11:04Z</dcterms:created>
  <dcterms:modified xsi:type="dcterms:W3CDTF">2026-08-19T18:13:14Z</dcterms:modified>
</cp:coreProperties>
</file>